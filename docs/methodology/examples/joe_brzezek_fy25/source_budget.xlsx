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55" yWindow="480" windowWidth="27225" windowHeight="15045" tabRatio="600" firstSheet="1" activeTab="1" autoFilterDateGrouping="1"/>
  </bookViews>
  <sheets>
    <sheet xmlns:r="http://schemas.openxmlformats.org/officeDocument/2006/relationships" name="Family Budget 2025" sheetId="1" state="visible" r:id="rId1"/>
    <sheet xmlns:r="http://schemas.openxmlformats.org/officeDocument/2006/relationships" name="Tax FY24" sheetId="2" state="visible" r:id="rId2"/>
    <sheet xmlns:r="http://schemas.openxmlformats.org/officeDocument/2006/relationships" name="Spending Tracker " sheetId="3" state="visible" r:id="rId3"/>
  </sheets>
  <definedNames/>
  <calcPr calcId="191028" fullCalcOnLoad="1"/>
</workbook>
</file>

<file path=xl/styles.xml><?xml version="1.0" encoding="utf-8"?>
<styleSheet xmlns="http://schemas.openxmlformats.org/spreadsheetml/2006/main">
  <numFmts count="4">
    <numFmt numFmtId="164" formatCode="&quot;$&quot;#,##0.00;[Red]\-&quot;$&quot;#,##0.00"/>
    <numFmt numFmtId="165" formatCode="&quot;$&quot;#,##0;[Red]\-&quot;$&quot;#,##0"/>
    <numFmt numFmtId="166" formatCode="_-&quot;$&quot;* #,##0.00_-;\-&quot;$&quot;* #,##0.00_-;_-&quot;$&quot;* &quot;-&quot;??_-;_-@_-"/>
    <numFmt numFmtId="167" formatCode="0.0%"/>
  </numFmts>
  <fonts count="5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Calibre"/>
      <family val="2"/>
      <color rgb="FFFFFFFF"/>
      <sz val="18"/>
    </font>
    <font>
      <name val="Calibre"/>
      <family val="2"/>
      <b val="1"/>
      <sz val="10"/>
    </font>
    <font>
      <name val="Calibri"/>
      <family val="2"/>
      <color rgb="FF000000"/>
      <sz val="10"/>
    </font>
    <font>
      <name val="Calibre"/>
      <family val="2"/>
      <color rgb="FFFFFFFF"/>
      <sz val="10"/>
    </font>
    <font>
      <name val="Calibre"/>
      <family val="2"/>
      <i val="1"/>
      <color rgb="FFFFFFFF"/>
      <sz val="14"/>
    </font>
    <font>
      <name val="Calibre"/>
      <family val="2"/>
      <color rgb="FF000000"/>
      <sz val="9"/>
    </font>
    <font>
      <name val="Calibre"/>
      <family val="2"/>
      <color rgb="FF000000"/>
      <sz val="10"/>
    </font>
    <font>
      <name val="Calibre"/>
      <family val="2"/>
      <color rgb="FFFFFFFF"/>
      <sz val="9"/>
    </font>
    <font>
      <name val="Calibre"/>
      <family val="2"/>
      <b val="1"/>
      <sz val="9"/>
    </font>
    <font>
      <name val="Calibre"/>
      <family val="2"/>
      <b val="1"/>
      <color rgb="FF000000"/>
      <sz val="9"/>
    </font>
    <font>
      <name val="Calibre"/>
      <family val="2"/>
      <color rgb="FF00B050"/>
      <sz val="9"/>
    </font>
    <font>
      <name val="Calibre"/>
      <family val="2"/>
      <color rgb="FFFF0000"/>
      <sz val="9"/>
    </font>
    <font>
      <name val="Calibre"/>
      <family val="2"/>
      <b val="1"/>
      <color rgb="FF00B050"/>
      <sz val="9"/>
    </font>
    <font>
      <name val="Calibri"/>
      <family val="2"/>
      <b val="1"/>
      <color rgb="FF000000"/>
      <sz val="10"/>
    </font>
    <font>
      <name val="Calibri"/>
      <family val="2"/>
      <b val="1"/>
      <color rgb="FF000000"/>
      <sz val="9"/>
    </font>
    <font>
      <name val="Calibri"/>
      <family val="2"/>
      <color rgb="FF000000"/>
      <sz val="9"/>
    </font>
    <font>
      <name val="Calibri"/>
      <family val="2"/>
      <color rgb="FF008000"/>
      <sz val="10"/>
    </font>
    <font>
      <name val="Calibri"/>
      <family val="2"/>
      <color rgb="FFFF0000"/>
      <sz val="10"/>
    </font>
    <font>
      <name val="Calibre"/>
      <family val="2"/>
      <i val="1"/>
      <color rgb="FFFF0000"/>
      <sz val="9"/>
    </font>
    <font>
      <name val="Calibre"/>
      <family val="2"/>
      <color rgb="FFFF0000"/>
      <sz val="10"/>
    </font>
    <font>
      <name val="Calibre"/>
      <family val="2"/>
      <i val="1"/>
      <color rgb="FF000000"/>
      <sz val="9"/>
    </font>
    <font>
      <name val="Calibre"/>
      <family val="2"/>
      <i val="1"/>
      <color rgb="FF000000"/>
      <sz val="10"/>
    </font>
    <font>
      <name val="Calibre"/>
      <family val="2"/>
      <b val="1"/>
      <color rgb="FF000000"/>
      <sz val="10"/>
    </font>
    <font>
      <name val="Calibri"/>
      <family val="2"/>
      <sz val="10"/>
    </font>
    <font>
      <name val="Aptos Narrow"/>
      <family val="2"/>
      <color rgb="FF000000"/>
      <sz val="9"/>
      <scheme val="minor"/>
    </font>
    <font>
      <name val="Aptos Narrow"/>
      <family val="2"/>
      <color rgb="FFFF0000"/>
      <sz val="9"/>
      <scheme val="minor"/>
    </font>
    <font>
      <name val="Calibri"/>
      <family val="2"/>
      <i val="1"/>
      <color rgb="FFED7D31"/>
      <sz val="9"/>
    </font>
    <font>
      <name val="Calibri"/>
      <family val="2"/>
      <color rgb="FF006A4D"/>
      <sz val="10"/>
    </font>
    <font>
      <name val="Calibre"/>
      <family val="2"/>
      <i val="1"/>
      <color rgb="FFFF0000"/>
      <sz val="10"/>
    </font>
    <font>
      <name val="Calibri"/>
      <family val="2"/>
      <color rgb="FF00B050"/>
      <sz val="10"/>
    </font>
    <font>
      <name val="Calibre"/>
      <family val="2"/>
      <b val="1"/>
      <color rgb="FFFFFFFF"/>
      <sz val="9"/>
    </font>
    <font>
      <name val="Calibri"/>
      <family val="2"/>
      <i val="1"/>
      <color rgb="FF000000"/>
      <sz val="10"/>
    </font>
    <font>
      <name val="Calibri"/>
      <family val="2"/>
      <i val="1"/>
      <color rgb="FFFF0000"/>
      <sz val="10"/>
    </font>
    <font>
      <name val="Aptos Narrow"/>
      <family val="2"/>
      <color theme="1"/>
      <sz val="10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color theme="1"/>
      <sz val="9"/>
      <scheme val="minor"/>
    </font>
    <font>
      <name val="Aptos Narrow"/>
      <family val="2"/>
      <b val="1"/>
      <color theme="1"/>
      <sz val="9"/>
      <scheme val="minor"/>
    </font>
    <font>
      <name val="Aptos Narrow"/>
      <family val="2"/>
      <i val="1"/>
      <color theme="1"/>
      <sz val="10"/>
      <scheme val="minor"/>
    </font>
    <font>
      <name val="Aptos Narrow"/>
      <family val="2"/>
      <sz val="8"/>
      <scheme val="minor"/>
    </font>
    <font>
      <name val="Aptos Narrow"/>
      <family val="2"/>
      <color theme="6" tint="-0.249977111117893"/>
      <sz val="9"/>
      <scheme val="minor"/>
    </font>
    <font>
      <name val="Aptos Narrow"/>
      <family val="2"/>
      <b val="1"/>
      <color theme="6" tint="-0.249977111117893"/>
      <sz val="9"/>
      <scheme val="minor"/>
    </font>
    <font>
      <name val="Aptos Narrow"/>
      <family val="2"/>
      <i val="1"/>
      <color theme="6" tint="-0.249977111117893"/>
      <sz val="9"/>
      <scheme val="minor"/>
    </font>
    <font>
      <name val="Aptos Narrow"/>
      <family val="2"/>
      <b val="1"/>
      <color theme="6" tint="-0.249977111117893"/>
      <sz val="10"/>
      <scheme val="minor"/>
    </font>
    <font>
      <name val="Aptos Narrow"/>
      <family val="2"/>
      <color theme="6" tint="-0.249977111117893"/>
      <sz val="10"/>
      <scheme val="minor"/>
    </font>
    <font>
      <name val="Aptos Narrow"/>
      <family val="2"/>
      <b val="1"/>
      <i val="1"/>
      <color theme="1"/>
      <sz val="16"/>
      <scheme val="minor"/>
    </font>
    <font>
      <name val="Aptos Narrow"/>
      <family val="2"/>
      <b val="1"/>
      <color theme="6" tint="-0.249977111117893"/>
      <sz val="16"/>
      <scheme val="minor"/>
    </font>
    <font>
      <name val="Aptos Narrow"/>
      <family val="2"/>
      <color rgb="FFFF000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i val="1"/>
      <color theme="1"/>
      <sz val="11"/>
      <scheme val="minor"/>
    </font>
    <font>
      <name val="Arial Nova"/>
      <color rgb="FFFFFFFF"/>
      <sz val="8"/>
    </font>
    <font>
      <name val="Arial Nova"/>
      <b val="1"/>
      <sz val="8"/>
    </font>
    <font>
      <name val="Arial Nova"/>
      <color rgb="FF000000"/>
      <sz val="8"/>
    </font>
    <font>
      <name val="Arial Nova"/>
      <b val="1"/>
      <color rgb="FF000000"/>
      <sz val="8"/>
    </font>
    <font>
      <name val="Arial Nova"/>
      <color rgb="FF000000"/>
      <sz val="9"/>
    </font>
    <font>
      <name val="Arial Nova"/>
      <i val="1"/>
      <color rgb="FF000000"/>
      <sz val="8"/>
    </font>
    <font>
      <name val="Arial Nova"/>
      <i val="1"/>
      <color rgb="FFFF0000"/>
      <sz val="8"/>
    </font>
    <font>
      <name val="Arial Nova"/>
      <family val="2"/>
      <color rgb="FF000000"/>
      <sz val="8"/>
    </font>
  </fonts>
  <fills count="21">
    <fill>
      <patternFill/>
    </fill>
    <fill>
      <patternFill patternType="gray125"/>
    </fill>
    <fill>
      <patternFill patternType="solid">
        <fgColor rgb="FF006A4D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6" tint="0.7999816888943144"/>
        <bgColor theme="6" tint="0.799981688894314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"/>
        <bgColor theme="6" tint="0.7999816888943144"/>
      </patternFill>
    </fill>
    <fill>
      <patternFill patternType="solid">
        <fgColor theme="0"/>
        <bgColor theme="6" tint="0.799981688894314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7" tint="0.7999816888943144"/>
        <bgColor theme="6" tint="0.799981688894314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3" tint="0.8999908444471572"/>
        <bgColor theme="6" tint="0.799981688894314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theme="6" tint="0.7999816888943144"/>
      </patternFill>
    </fill>
    <fill>
      <patternFill patternType="solid">
        <fgColor rgb="FFFFF2CC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CC"/>
        <bgColor rgb="FF000000"/>
      </patternFill>
    </fill>
  </fills>
  <borders count="2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6"/>
      </left>
      <right/>
      <top style="thin">
        <color theme="6"/>
      </top>
      <bottom/>
      <diagonal/>
    </border>
    <border>
      <left/>
      <right/>
      <top style="thin">
        <color theme="6"/>
      </top>
      <bottom/>
      <diagonal/>
    </border>
    <border>
      <left/>
      <right style="thin">
        <color theme="6"/>
      </right>
      <top style="thin">
        <color theme="6"/>
      </top>
      <bottom/>
      <diagonal/>
    </border>
    <border>
      <left/>
      <right/>
      <top style="thin">
        <color theme="6"/>
      </top>
      <bottom style="thin">
        <color theme="6"/>
      </bottom>
      <diagonal/>
    </border>
    <border>
      <left style="thin">
        <color theme="6"/>
      </left>
      <right/>
      <top/>
      <bottom/>
      <diagonal/>
    </border>
    <border>
      <left/>
      <right style="thin">
        <color theme="6"/>
      </right>
      <top/>
      <bottom/>
      <diagonal/>
    </border>
    <border>
      <left/>
      <right/>
      <top/>
      <bottom style="thin">
        <color theme="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1" fillId="0" borderId="0"/>
    <xf numFmtId="166" fontId="1" fillId="0" borderId="0"/>
    <xf numFmtId="9" fontId="1" fillId="0" borderId="0"/>
  </cellStyleXfs>
  <cellXfs count="441">
    <xf numFmtId="0" fontId="0" fillId="0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4" fillId="3" borderId="0" pivotButton="0" quotePrefix="0" xfId="0"/>
    <xf numFmtId="0" fontId="5" fillId="2" borderId="0" applyAlignment="1" pivotButton="0" quotePrefix="0" xfId="0">
      <alignment horizontal="left"/>
    </xf>
    <xf numFmtId="0" fontId="6" fillId="2" borderId="0" pivotButton="0" quotePrefix="0" xfId="0"/>
    <xf numFmtId="0" fontId="7" fillId="3" borderId="0" applyAlignment="1" pivotButton="0" quotePrefix="0" xfId="0">
      <alignment horizontal="left"/>
    </xf>
    <xf numFmtId="164" fontId="7" fillId="3" borderId="0" applyAlignment="1" pivotButton="0" quotePrefix="0" xfId="0">
      <alignment horizontal="right"/>
    </xf>
    <xf numFmtId="9" fontId="8" fillId="3" borderId="0" pivotButton="0" quotePrefix="0" xfId="0"/>
    <xf numFmtId="0" fontId="9" fillId="2" borderId="0" pivotButton="0" quotePrefix="0" xfId="0"/>
    <xf numFmtId="0" fontId="10" fillId="2" borderId="0" pivotButton="0" quotePrefix="0" xfId="0"/>
    <xf numFmtId="0" fontId="11" fillId="3" borderId="0" applyAlignment="1" pivotButton="0" quotePrefix="0" xfId="0">
      <alignment horizontal="right"/>
    </xf>
    <xf numFmtId="0" fontId="7" fillId="0" borderId="0" pivotButton="0" quotePrefix="0" xfId="0"/>
    <xf numFmtId="0" fontId="7" fillId="3" borderId="0" pivotButton="0" quotePrefix="0" xfId="0"/>
    <xf numFmtId="0" fontId="7" fillId="3" borderId="2" applyAlignment="1" pivotButton="0" quotePrefix="0" xfId="0">
      <alignment horizontal="left"/>
    </xf>
    <xf numFmtId="164" fontId="12" fillId="3" borderId="2" applyAlignment="1" pivotButton="0" quotePrefix="0" xfId="0">
      <alignment horizontal="right"/>
    </xf>
    <xf numFmtId="0" fontId="4" fillId="0" borderId="2" pivotButton="0" quotePrefix="0" xfId="0"/>
    <xf numFmtId="0" fontId="11" fillId="3" borderId="2" applyAlignment="1" pivotButton="0" quotePrefix="0" xfId="0">
      <alignment horizontal="right"/>
    </xf>
    <xf numFmtId="0" fontId="11" fillId="3" borderId="2" pivotButton="0" quotePrefix="0" xfId="0"/>
    <xf numFmtId="0" fontId="11" fillId="3" borderId="0" pivotButton="0" quotePrefix="0" xfId="0"/>
    <xf numFmtId="164" fontId="13" fillId="3" borderId="0" applyAlignment="1" pivotButton="0" quotePrefix="0" xfId="0">
      <alignment horizontal="right"/>
    </xf>
    <xf numFmtId="0" fontId="14" fillId="3" borderId="0" applyAlignment="1" pivotButton="0" quotePrefix="0" xfId="0">
      <alignment horizontal="right"/>
    </xf>
    <xf numFmtId="0" fontId="11" fillId="3" borderId="0" applyAlignment="1" pivotButton="0" quotePrefix="0" xfId="0">
      <alignment horizontal="left"/>
    </xf>
    <xf numFmtId="164" fontId="14" fillId="3" borderId="0" applyAlignment="1" pivotButton="0" quotePrefix="0" xfId="0">
      <alignment horizontal="right"/>
    </xf>
    <xf numFmtId="0" fontId="15" fillId="3" borderId="0" applyAlignment="1" pivotButton="0" quotePrefix="0" xfId="0">
      <alignment horizontal="left"/>
    </xf>
    <xf numFmtId="0" fontId="15" fillId="3" borderId="0" applyAlignment="1" pivotButton="0" quotePrefix="0" xfId="0">
      <alignment horizontal="right"/>
    </xf>
    <xf numFmtId="0" fontId="9" fillId="2" borderId="0" applyAlignment="1" pivotButton="0" quotePrefix="0" xfId="0">
      <alignment wrapText="1"/>
    </xf>
    <xf numFmtId="0" fontId="16" fillId="3" borderId="0" pivotButton="0" quotePrefix="0" xfId="0"/>
    <xf numFmtId="0" fontId="17" fillId="3" borderId="0" pivotButton="0" quotePrefix="0" xfId="0"/>
    <xf numFmtId="0" fontId="17" fillId="3" borderId="0" applyAlignment="1" pivotButton="0" quotePrefix="0" xfId="0">
      <alignment horizontal="right"/>
    </xf>
    <xf numFmtId="0" fontId="8" fillId="3" borderId="0" pivotButton="0" quotePrefix="0" xfId="0"/>
    <xf numFmtId="0" fontId="11" fillId="3" borderId="3" pivotButton="0" quotePrefix="0" xfId="0"/>
    <xf numFmtId="0" fontId="7" fillId="3" borderId="4" pivotButton="0" quotePrefix="0" xfId="0"/>
    <xf numFmtId="0" fontId="7" fillId="3" borderId="4" applyAlignment="1" pivotButton="0" quotePrefix="0" xfId="0">
      <alignment horizontal="right"/>
    </xf>
    <xf numFmtId="0" fontId="7" fillId="3" borderId="5" pivotButton="0" quotePrefix="0" xfId="0"/>
    <xf numFmtId="165" fontId="7" fillId="3" borderId="5" pivotButton="0" quotePrefix="0" xfId="0"/>
    <xf numFmtId="0" fontId="4" fillId="0" borderId="5" pivotButton="0" quotePrefix="0" xfId="0"/>
    <xf numFmtId="0" fontId="4" fillId="3" borderId="5" pivotButton="0" quotePrefix="0" xfId="0"/>
    <xf numFmtId="0" fontId="4" fillId="3" borderId="6" pivotButton="0" quotePrefix="0" xfId="0"/>
    <xf numFmtId="0" fontId="7" fillId="3" borderId="7" pivotButton="0" quotePrefix="0" xfId="0"/>
    <xf numFmtId="164" fontId="7" fillId="3" borderId="0" pivotButton="0" quotePrefix="0" xfId="0"/>
    <xf numFmtId="0" fontId="4" fillId="3" borderId="8" pivotButton="0" quotePrefix="0" xfId="0"/>
    <xf numFmtId="0" fontId="7" fillId="3" borderId="9" pivotButton="0" quotePrefix="0" xfId="0"/>
    <xf numFmtId="0" fontId="4" fillId="0" borderId="1" pivotButton="0" quotePrefix="0" xfId="0"/>
    <xf numFmtId="164" fontId="13" fillId="3" borderId="1" pivotButton="0" quotePrefix="0" xfId="0"/>
    <xf numFmtId="0" fontId="7" fillId="3" borderId="1" pivotButton="0" quotePrefix="0" xfId="0"/>
    <xf numFmtId="0" fontId="7" fillId="3" borderId="1" applyAlignment="1" pivotButton="0" quotePrefix="0" xfId="0">
      <alignment horizontal="left"/>
    </xf>
    <xf numFmtId="0" fontId="7" fillId="3" borderId="10" pivotButton="0" quotePrefix="0" xfId="0"/>
    <xf numFmtId="165" fontId="18" fillId="3" borderId="10" pivotButton="0" quotePrefix="0" xfId="0"/>
    <xf numFmtId="0" fontId="4" fillId="3" borderId="10" pivotButton="0" quotePrefix="0" xfId="0"/>
    <xf numFmtId="0" fontId="4" fillId="3" borderId="11" pivotButton="0" quotePrefix="0" xfId="0"/>
    <xf numFmtId="0" fontId="4" fillId="3" borderId="0" applyAlignment="1" pivotButton="0" quotePrefix="0" xfId="0">
      <alignment horizontal="right"/>
    </xf>
    <xf numFmtId="0" fontId="19" fillId="3" borderId="0" pivotButton="0" quotePrefix="0" xfId="0"/>
    <xf numFmtId="0" fontId="4" fillId="3" borderId="0" applyAlignment="1" pivotButton="0" quotePrefix="0" xfId="0">
      <alignment horizontal="left"/>
    </xf>
    <xf numFmtId="0" fontId="11" fillId="3" borderId="12" pivotButton="0" quotePrefix="0" xfId="0"/>
    <xf numFmtId="0" fontId="7" fillId="3" borderId="5" applyAlignment="1" pivotButton="0" quotePrefix="0" xfId="0">
      <alignment horizontal="left"/>
    </xf>
    <xf numFmtId="0" fontId="7" fillId="3" borderId="13" pivotButton="0" quotePrefix="0" xfId="0"/>
    <xf numFmtId="0" fontId="20" fillId="3" borderId="13" pivotButton="0" quotePrefix="0" xfId="0"/>
    <xf numFmtId="164" fontId="20" fillId="3" borderId="0" pivotButton="0" quotePrefix="0" xfId="0"/>
    <xf numFmtId="0" fontId="20" fillId="3" borderId="0" pivotButton="0" quotePrefix="0" xfId="0"/>
    <xf numFmtId="0" fontId="20" fillId="3" borderId="0" applyAlignment="1" pivotButton="0" quotePrefix="0" xfId="0">
      <alignment horizontal="left"/>
    </xf>
    <xf numFmtId="0" fontId="7" fillId="3" borderId="13" applyAlignment="1" pivotButton="0" quotePrefix="0" xfId="0">
      <alignment horizontal="right"/>
    </xf>
    <xf numFmtId="164" fontId="7" fillId="0" borderId="0" pivotButton="0" quotePrefix="0" xfId="0"/>
    <xf numFmtId="0" fontId="13" fillId="3" borderId="0" pivotButton="0" quotePrefix="0" xfId="0"/>
    <xf numFmtId="164" fontId="4" fillId="3" borderId="0" pivotButton="0" quotePrefix="0" xfId="0"/>
    <xf numFmtId="0" fontId="7" fillId="3" borderId="0" applyAlignment="1" pivotButton="0" quotePrefix="0" xfId="0">
      <alignment horizontal="right"/>
    </xf>
    <xf numFmtId="0" fontId="8" fillId="3" borderId="14" pivotButton="0" quotePrefix="0" xfId="0"/>
    <xf numFmtId="0" fontId="4" fillId="0" borderId="10" pivotButton="0" quotePrefix="0" xfId="0"/>
    <xf numFmtId="164" fontId="21" fillId="3" borderId="10" pivotButton="0" quotePrefix="0" xfId="0"/>
    <xf numFmtId="0" fontId="8" fillId="3" borderId="10" pivotButton="0" quotePrefix="0" xfId="0"/>
    <xf numFmtId="0" fontId="7" fillId="3" borderId="15" pivotButton="0" quotePrefix="0" xfId="0"/>
    <xf numFmtId="0" fontId="7" fillId="3" borderId="16" pivotButton="0" quotePrefix="0" xfId="0"/>
    <xf numFmtId="0" fontId="7" fillId="3" borderId="7" applyAlignment="1" pivotButton="0" quotePrefix="0" xfId="0">
      <alignment horizontal="left"/>
    </xf>
    <xf numFmtId="0" fontId="7" fillId="0" borderId="16" pivotButton="0" quotePrefix="0" xfId="0"/>
    <xf numFmtId="0" fontId="7" fillId="3" borderId="9" applyAlignment="1" pivotButton="0" quotePrefix="0" xfId="0">
      <alignment horizontal="right"/>
    </xf>
    <xf numFmtId="164" fontId="13" fillId="3" borderId="1" applyAlignment="1" pivotButton="0" quotePrefix="0" xfId="0">
      <alignment horizontal="right"/>
    </xf>
    <xf numFmtId="0" fontId="7" fillId="3" borderId="1" applyAlignment="1" pivotButton="0" quotePrefix="0" xfId="0">
      <alignment horizontal="right"/>
    </xf>
    <xf numFmtId="0" fontId="22" fillId="3" borderId="17" pivotButton="0" quotePrefix="0" xfId="0"/>
    <xf numFmtId="0" fontId="22" fillId="3" borderId="0" pivotButton="0" quotePrefix="0" xfId="0"/>
    <xf numFmtId="0" fontId="8" fillId="3" borderId="0" applyAlignment="1" pivotButton="0" quotePrefix="0" xfId="0">
      <alignment horizontal="right"/>
    </xf>
    <xf numFmtId="0" fontId="23" fillId="3" borderId="0" pivotButton="0" quotePrefix="0" xfId="0"/>
    <xf numFmtId="0" fontId="11" fillId="3" borderId="3" applyAlignment="1" pivotButton="0" quotePrefix="0" xfId="0">
      <alignment horizontal="left"/>
    </xf>
    <xf numFmtId="0" fontId="7" fillId="4" borderId="16" pivotButton="0" quotePrefix="0" xfId="0"/>
    <xf numFmtId="0" fontId="7" fillId="4" borderId="0" pivotButton="0" quotePrefix="0" xfId="0"/>
    <xf numFmtId="0" fontId="7" fillId="3" borderId="8" pivotButton="0" quotePrefix="0" xfId="0"/>
    <xf numFmtId="0" fontId="11" fillId="3" borderId="9" applyAlignment="1" pivotButton="0" quotePrefix="0" xfId="0">
      <alignment horizontal="left"/>
    </xf>
    <xf numFmtId="0" fontId="24" fillId="3" borderId="0" applyAlignment="1" pivotButton="0" quotePrefix="0" xfId="0">
      <alignment horizontal="left"/>
    </xf>
    <xf numFmtId="0" fontId="24" fillId="3" borderId="3" applyAlignment="1" pivotButton="0" quotePrefix="0" xfId="0">
      <alignment horizontal="left"/>
    </xf>
    <xf numFmtId="0" fontId="8" fillId="3" borderId="4" pivotButton="0" quotePrefix="0" xfId="0"/>
    <xf numFmtId="0" fontId="8" fillId="3" borderId="4" applyAlignment="1" pivotButton="0" quotePrefix="0" xfId="0">
      <alignment horizontal="right"/>
    </xf>
    <xf numFmtId="0" fontId="23" fillId="3" borderId="15" pivotButton="0" quotePrefix="0" xfId="0"/>
    <xf numFmtId="0" fontId="8" fillId="3" borderId="0" applyAlignment="1" pivotButton="0" quotePrefix="0" xfId="0">
      <alignment horizontal="left"/>
    </xf>
    <xf numFmtId="0" fontId="4" fillId="3" borderId="18" pivotButton="0" quotePrefix="0" xfId="0"/>
    <xf numFmtId="164" fontId="4" fillId="3" borderId="18" pivotButton="0" quotePrefix="0" xfId="0"/>
    <xf numFmtId="0" fontId="4" fillId="0" borderId="18" pivotButton="0" quotePrefix="0" xfId="0"/>
    <xf numFmtId="9" fontId="4" fillId="0" borderId="18" pivotButton="0" quotePrefix="0" xfId="0"/>
    <xf numFmtId="164" fontId="4" fillId="0" borderId="18" pivotButton="0" quotePrefix="0" xfId="0"/>
    <xf numFmtId="0" fontId="7" fillId="3" borderId="9" applyAlignment="1" pivotButton="0" quotePrefix="0" xfId="0">
      <alignment horizontal="left"/>
    </xf>
    <xf numFmtId="164" fontId="21" fillId="3" borderId="1" pivotButton="0" quotePrefix="0" xfId="0"/>
    <xf numFmtId="0" fontId="8" fillId="3" borderId="1" pivotButton="0" quotePrefix="0" xfId="0"/>
    <xf numFmtId="0" fontId="8" fillId="3" borderId="17" pivotButton="0" quotePrefix="0" xfId="0"/>
    <xf numFmtId="9" fontId="25" fillId="0" borderId="18" pivotButton="0" quotePrefix="0" xfId="0"/>
    <xf numFmtId="0" fontId="21" fillId="3" borderId="0" pivotButton="0" quotePrefix="0" xfId="0"/>
    <xf numFmtId="0" fontId="11" fillId="3" borderId="12" applyAlignment="1" pivotButton="0" quotePrefix="0" xfId="0">
      <alignment horizontal="left"/>
    </xf>
    <xf numFmtId="0" fontId="21" fillId="3" borderId="5" pivotButton="0" quotePrefix="0" xfId="0"/>
    <xf numFmtId="0" fontId="8" fillId="3" borderId="5" pivotButton="0" quotePrefix="0" xfId="0"/>
    <xf numFmtId="0" fontId="8" fillId="3" borderId="6" pivotButton="0" quotePrefix="0" xfId="0"/>
    <xf numFmtId="0" fontId="26" fillId="3" borderId="0" pivotButton="0" quotePrefix="0" xfId="0"/>
    <xf numFmtId="0" fontId="27" fillId="3" borderId="0" pivotButton="0" quotePrefix="0" xfId="0"/>
    <xf numFmtId="0" fontId="26" fillId="3" borderId="8" pivotButton="0" quotePrefix="0" xfId="0"/>
    <xf numFmtId="0" fontId="8" fillId="3" borderId="8" pivotButton="0" quotePrefix="0" xfId="0"/>
    <xf numFmtId="0" fontId="28" fillId="0" borderId="13" pivotButton="0" quotePrefix="0" xfId="0"/>
    <xf numFmtId="165" fontId="28" fillId="0" borderId="0" pivotButton="0" quotePrefix="0" xfId="0"/>
    <xf numFmtId="0" fontId="7" fillId="3" borderId="13" applyAlignment="1" pivotButton="0" quotePrefix="0" xfId="0">
      <alignment horizontal="left"/>
    </xf>
    <xf numFmtId="0" fontId="7" fillId="3" borderId="14" applyAlignment="1" pivotButton="0" quotePrefix="0" xfId="0">
      <alignment horizontal="left"/>
    </xf>
    <xf numFmtId="164" fontId="13" fillId="3" borderId="10" pivotButton="0" quotePrefix="0" xfId="0"/>
    <xf numFmtId="0" fontId="8" fillId="3" borderId="11" pivotButton="0" quotePrefix="0" xfId="0"/>
    <xf numFmtId="9" fontId="29" fillId="0" borderId="18" pivotButton="0" quotePrefix="0" xfId="0"/>
    <xf numFmtId="164" fontId="29" fillId="0" borderId="18" pivotButton="0" quotePrefix="0" xfId="0"/>
    <xf numFmtId="0" fontId="24" fillId="3" borderId="0" pivotButton="0" quotePrefix="0" xfId="0"/>
    <xf numFmtId="0" fontId="24" fillId="3" borderId="0" applyAlignment="1" pivotButton="0" quotePrefix="0" xfId="0">
      <alignment horizontal="right"/>
    </xf>
    <xf numFmtId="0" fontId="24" fillId="3" borderId="3" pivotButton="0" quotePrefix="0" xfId="0"/>
    <xf numFmtId="0" fontId="8" fillId="3" borderId="15" pivotButton="0" quotePrefix="0" xfId="0"/>
    <xf numFmtId="0" fontId="8" fillId="3" borderId="7" pivotButton="0" quotePrefix="0" xfId="0"/>
    <xf numFmtId="164" fontId="8" fillId="3" borderId="0" pivotButton="0" quotePrefix="0" xfId="0"/>
    <xf numFmtId="164" fontId="8" fillId="3" borderId="0" applyAlignment="1" pivotButton="0" quotePrefix="0" xfId="0">
      <alignment horizontal="right"/>
    </xf>
    <xf numFmtId="0" fontId="8" fillId="3" borderId="16" pivotButton="0" quotePrefix="0" xfId="0"/>
    <xf numFmtId="0" fontId="8" fillId="3" borderId="9" pivotButton="0" quotePrefix="0" xfId="0"/>
    <xf numFmtId="0" fontId="30" fillId="3" borderId="15" pivotButton="0" quotePrefix="0" xfId="0"/>
    <xf numFmtId="0" fontId="30" fillId="3" borderId="0" pivotButton="0" quotePrefix="0" xfId="0"/>
    <xf numFmtId="164" fontId="21" fillId="3" borderId="0" pivotButton="0" quotePrefix="0" xfId="0"/>
    <xf numFmtId="0" fontId="8" fillId="3" borderId="1" applyAlignment="1" pivotButton="0" quotePrefix="0" xfId="0">
      <alignment horizontal="right"/>
    </xf>
    <xf numFmtId="0" fontId="8" fillId="3" borderId="7" applyAlignment="1" pivotButton="0" quotePrefix="0" xfId="0">
      <alignment horizontal="right"/>
    </xf>
    <xf numFmtId="0" fontId="8" fillId="3" borderId="0" applyAlignment="1" pivotButton="0" quotePrefix="0" xfId="0">
      <alignment vertical="top"/>
    </xf>
    <xf numFmtId="0" fontId="4" fillId="3" borderId="0" applyAlignment="1" pivotButton="0" quotePrefix="0" xfId="0">
      <alignment vertical="top"/>
    </xf>
    <xf numFmtId="0" fontId="4" fillId="3" borderId="16" pivotButton="0" quotePrefix="0" xfId="0"/>
    <xf numFmtId="0" fontId="15" fillId="3" borderId="0" pivotButton="0" quotePrefix="0" xfId="0"/>
    <xf numFmtId="0" fontId="31" fillId="3" borderId="0" pivotButton="0" quotePrefix="0" xfId="0"/>
    <xf numFmtId="0" fontId="4" fillId="3" borderId="9" pivotButton="0" quotePrefix="0" xfId="0"/>
    <xf numFmtId="0" fontId="4" fillId="3" borderId="1" pivotButton="0" quotePrefix="0" xfId="0"/>
    <xf numFmtId="0" fontId="4" fillId="3" borderId="17" pivotButton="0" quotePrefix="0" xfId="0"/>
    <xf numFmtId="0" fontId="15" fillId="3" borderId="3" pivotButton="0" quotePrefix="0" xfId="0"/>
    <xf numFmtId="0" fontId="4" fillId="3" borderId="4" pivotButton="0" quotePrefix="0" xfId="0"/>
    <xf numFmtId="0" fontId="4" fillId="3" borderId="15" pivotButton="0" quotePrefix="0" xfId="0"/>
    <xf numFmtId="0" fontId="4" fillId="3" borderId="0" applyAlignment="1" pivotButton="0" quotePrefix="0" xfId="0">
      <alignment wrapText="1"/>
    </xf>
    <xf numFmtId="0" fontId="4" fillId="2" borderId="0" pivotButton="0" quotePrefix="0" xfId="0"/>
    <xf numFmtId="164" fontId="19" fillId="3" borderId="1" pivotButton="0" quotePrefix="0" xfId="0"/>
    <xf numFmtId="0" fontId="32" fillId="2" borderId="0" pivotButton="0" quotePrefix="0" xfId="0"/>
    <xf numFmtId="164" fontId="9" fillId="2" borderId="0" pivotButton="0" quotePrefix="0" xfId="0"/>
    <xf numFmtId="0" fontId="15" fillId="3" borderId="18" pivotButton="0" quotePrefix="0" xfId="0"/>
    <xf numFmtId="164" fontId="15" fillId="3" borderId="18" pivotButton="0" quotePrefix="0" xfId="0"/>
    <xf numFmtId="9" fontId="15" fillId="3" borderId="18" pivotButton="0" quotePrefix="0" xfId="0"/>
    <xf numFmtId="9" fontId="4" fillId="3" borderId="18" pivotButton="0" quotePrefix="0" xfId="0"/>
    <xf numFmtId="0" fontId="11" fillId="3" borderId="2" applyAlignment="1" pivotButton="0" quotePrefix="0" xfId="0">
      <alignment horizontal="left"/>
    </xf>
    <xf numFmtId="0" fontId="7" fillId="0" borderId="2" pivotButton="0" quotePrefix="0" xfId="0"/>
    <xf numFmtId="164" fontId="11" fillId="3" borderId="2" applyAlignment="1" pivotButton="0" quotePrefix="0" xfId="0">
      <alignment horizontal="right"/>
    </xf>
    <xf numFmtId="164" fontId="25" fillId="0" borderId="18" pivotButton="0" quotePrefix="0" xfId="0"/>
    <xf numFmtId="0" fontId="7" fillId="3" borderId="17" pivotButton="0" quotePrefix="0" xfId="0"/>
    <xf numFmtId="0" fontId="7" fillId="3" borderId="4" applyAlignment="1" pivotButton="0" quotePrefix="0" xfId="0">
      <alignment horizontal="left"/>
    </xf>
    <xf numFmtId="0" fontId="7" fillId="3" borderId="7" applyAlignment="1" pivotButton="0" quotePrefix="0" xfId="0">
      <alignment horizontal="right"/>
    </xf>
    <xf numFmtId="0" fontId="21" fillId="3" borderId="4" pivotButton="0" quotePrefix="0" xfId="0"/>
    <xf numFmtId="0" fontId="4" fillId="3" borderId="1" applyAlignment="1" pivotButton="0" quotePrefix="0" xfId="0">
      <alignment horizontal="right"/>
    </xf>
    <xf numFmtId="164" fontId="19" fillId="3" borderId="0" pivotButton="0" quotePrefix="0" xfId="0"/>
    <xf numFmtId="164" fontId="18" fillId="3" borderId="0" pivotButton="0" quotePrefix="0" xfId="0"/>
    <xf numFmtId="0" fontId="19" fillId="3" borderId="4" pivotButton="0" quotePrefix="0" xfId="0"/>
    <xf numFmtId="0" fontId="33" fillId="3" borderId="0" pivotButton="0" quotePrefix="0" xfId="0"/>
    <xf numFmtId="0" fontId="34" fillId="3" borderId="16" pivotButton="0" quotePrefix="0" xfId="0"/>
    <xf numFmtId="0" fontId="8" fillId="4" borderId="7" pivotButton="0" quotePrefix="0" xfId="0"/>
    <xf numFmtId="0" fontId="8" fillId="4" borderId="0" pivotButton="0" quotePrefix="0" xfId="0"/>
    <xf numFmtId="164" fontId="8" fillId="4" borderId="0" pivotButton="0" quotePrefix="0" xfId="0"/>
    <xf numFmtId="0" fontId="33" fillId="4" borderId="0" pivotButton="0" quotePrefix="0" xfId="0"/>
    <xf numFmtId="0" fontId="4" fillId="4" borderId="0" pivotButton="0" quotePrefix="0" xfId="0"/>
    <xf numFmtId="164" fontId="32" fillId="2" borderId="0" pivotButton="0" quotePrefix="0" xfId="0"/>
    <xf numFmtId="0" fontId="35" fillId="0" borderId="0" pivotButton="0" quotePrefix="0" xfId="0"/>
    <xf numFmtId="166" fontId="35" fillId="0" borderId="0" pivotButton="0" quotePrefix="0" xfId="1"/>
    <xf numFmtId="0" fontId="36" fillId="0" borderId="0" pivotButton="0" quotePrefix="0" xfId="0"/>
    <xf numFmtId="17" fontId="35" fillId="0" borderId="0" applyAlignment="1" pivotButton="0" quotePrefix="0" xfId="0">
      <alignment horizontal="right"/>
    </xf>
    <xf numFmtId="165" fontId="35" fillId="0" borderId="0" pivotButton="0" quotePrefix="0" xfId="1"/>
    <xf numFmtId="0" fontId="35" fillId="0" borderId="0" applyAlignment="1" pivotButton="0" quotePrefix="0" xfId="0">
      <alignment horizontal="right"/>
    </xf>
    <xf numFmtId="17" fontId="35" fillId="0" borderId="0" pivotButton="0" quotePrefix="0" xfId="0"/>
    <xf numFmtId="17" fontId="36" fillId="0" borderId="0" pivotButton="0" quotePrefix="0" xfId="0"/>
    <xf numFmtId="165" fontId="35" fillId="0" borderId="0" pivotButton="0" quotePrefix="0" xfId="0"/>
    <xf numFmtId="0" fontId="37" fillId="0" borderId="0" pivotButton="0" quotePrefix="0" xfId="0"/>
    <xf numFmtId="0" fontId="38" fillId="0" borderId="0" applyAlignment="1" pivotButton="0" quotePrefix="0" xfId="0">
      <alignment horizontal="left"/>
    </xf>
    <xf numFmtId="0" fontId="37" fillId="0" borderId="0" applyAlignment="1" pivotButton="0" quotePrefix="0" xfId="0">
      <alignment horizontal="right"/>
    </xf>
    <xf numFmtId="166" fontId="37" fillId="0" borderId="0" pivotButton="0" quotePrefix="0" xfId="1"/>
    <xf numFmtId="17" fontId="39" fillId="0" borderId="0" pivotButton="0" quotePrefix="0" xfId="0"/>
    <xf numFmtId="0" fontId="39" fillId="0" borderId="0" pivotButton="0" quotePrefix="0" xfId="0"/>
    <xf numFmtId="166" fontId="39" fillId="0" borderId="0" pivotButton="0" quotePrefix="0" xfId="1"/>
    <xf numFmtId="166" fontId="35" fillId="0" borderId="0" pivotButton="0" quotePrefix="0" xfId="1"/>
    <xf numFmtId="17" fontId="39" fillId="0" borderId="19" pivotButton="0" quotePrefix="0" xfId="0"/>
    <xf numFmtId="0" fontId="39" fillId="0" borderId="20" pivotButton="0" quotePrefix="0" xfId="0"/>
    <xf numFmtId="166" fontId="39" fillId="0" borderId="20" pivotButton="0" quotePrefix="0" xfId="1"/>
    <xf numFmtId="0" fontId="39" fillId="0" borderId="21" pivotButton="0" quotePrefix="0" xfId="0"/>
    <xf numFmtId="0" fontId="42" fillId="0" borderId="20" pivotButton="0" quotePrefix="0" xfId="0"/>
    <xf numFmtId="0" fontId="44" fillId="0" borderId="22" pivotButton="0" quotePrefix="0" xfId="0"/>
    <xf numFmtId="0" fontId="44" fillId="0" borderId="20" pivotButton="0" quotePrefix="0" xfId="0"/>
    <xf numFmtId="17" fontId="45" fillId="7" borderId="20" applyAlignment="1" pivotButton="0" quotePrefix="0" xfId="0">
      <alignment horizontal="right"/>
    </xf>
    <xf numFmtId="0" fontId="45" fillId="7" borderId="20" pivotButton="0" quotePrefix="0" xfId="0"/>
    <xf numFmtId="166" fontId="45" fillId="7" borderId="20" pivotButton="0" quotePrefix="0" xfId="1"/>
    <xf numFmtId="17" fontId="45" fillId="0" borderId="0" pivotButton="0" quotePrefix="0" xfId="0"/>
    <xf numFmtId="0" fontId="45" fillId="0" borderId="0" pivotButton="0" quotePrefix="0" xfId="0"/>
    <xf numFmtId="166" fontId="45" fillId="0" borderId="0" pivotButton="0" quotePrefix="0" xfId="1"/>
    <xf numFmtId="166" fontId="45" fillId="7" borderId="0" pivotButton="0" quotePrefix="0" xfId="1"/>
    <xf numFmtId="0" fontId="45" fillId="7" borderId="0" pivotButton="0" quotePrefix="0" xfId="0"/>
    <xf numFmtId="0" fontId="45" fillId="0" borderId="25" pivotButton="0" quotePrefix="0" xfId="0"/>
    <xf numFmtId="166" fontId="45" fillId="0" borderId="25" pivotButton="0" quotePrefix="0" xfId="1"/>
    <xf numFmtId="17" fontId="45" fillId="7" borderId="20" pivotButton="0" quotePrefix="0" xfId="0"/>
    <xf numFmtId="165" fontId="45" fillId="7" borderId="20" pivotButton="0" quotePrefix="0" xfId="1"/>
    <xf numFmtId="17" fontId="44" fillId="7" borderId="20" pivotButton="0" quotePrefix="0" xfId="0"/>
    <xf numFmtId="17" fontId="44" fillId="0" borderId="0" pivotButton="0" quotePrefix="0" xfId="0"/>
    <xf numFmtId="17" fontId="44" fillId="7" borderId="0" pivotButton="0" quotePrefix="0" xfId="0"/>
    <xf numFmtId="17" fontId="44" fillId="0" borderId="25" pivotButton="0" quotePrefix="0" xfId="0"/>
    <xf numFmtId="17" fontId="45" fillId="7" borderId="0" pivotButton="0" quotePrefix="0" xfId="0"/>
    <xf numFmtId="17" fontId="45" fillId="7" borderId="25" pivotButton="0" quotePrefix="0" xfId="0"/>
    <xf numFmtId="0" fontId="45" fillId="7" borderId="25" pivotButton="0" quotePrefix="0" xfId="0"/>
    <xf numFmtId="166" fontId="45" fillId="7" borderId="25" pivotButton="0" quotePrefix="0" xfId="1"/>
    <xf numFmtId="165" fontId="45" fillId="0" borderId="0" pivotButton="0" quotePrefix="0" xfId="1"/>
    <xf numFmtId="17" fontId="45" fillId="0" borderId="0" applyAlignment="1" pivotButton="0" quotePrefix="0" xfId="0">
      <alignment horizontal="right"/>
    </xf>
    <xf numFmtId="166" fontId="45" fillId="0" borderId="0" pivotButton="0" quotePrefix="0" xfId="1"/>
    <xf numFmtId="166" fontId="44" fillId="0" borderId="20" pivotButton="0" quotePrefix="0" xfId="1"/>
    <xf numFmtId="17" fontId="45" fillId="7" borderId="0" applyAlignment="1" pivotButton="0" quotePrefix="0" xfId="0">
      <alignment horizontal="right"/>
    </xf>
    <xf numFmtId="166" fontId="45" fillId="7" borderId="0" pivotButton="0" quotePrefix="0" xfId="1"/>
    <xf numFmtId="166" fontId="35" fillId="7" borderId="0" pivotButton="0" quotePrefix="0" xfId="1"/>
    <xf numFmtId="0" fontId="35" fillId="7" borderId="0" pivotButton="0" quotePrefix="0" xfId="0"/>
    <xf numFmtId="17" fontId="35" fillId="0" borderId="23" pivotButton="0" quotePrefix="0" xfId="0"/>
    <xf numFmtId="0" fontId="35" fillId="0" borderId="24" pivotButton="0" quotePrefix="0" xfId="0"/>
    <xf numFmtId="0" fontId="35" fillId="8" borderId="0" pivotButton="0" quotePrefix="0" xfId="0"/>
    <xf numFmtId="166" fontId="35" fillId="8" borderId="0" pivotButton="0" quotePrefix="0" xfId="1"/>
    <xf numFmtId="166" fontId="35" fillId="8" borderId="0" pivotButton="0" quotePrefix="0" xfId="1"/>
    <xf numFmtId="17" fontId="45" fillId="9" borderId="20" pivotButton="0" quotePrefix="0" xfId="0"/>
    <xf numFmtId="0" fontId="45" fillId="9" borderId="20" applyAlignment="1" pivotButton="0" quotePrefix="0" xfId="0">
      <alignment horizontal="right"/>
    </xf>
    <xf numFmtId="166" fontId="45" fillId="9" borderId="20" pivotButton="0" quotePrefix="0" xfId="1"/>
    <xf numFmtId="0" fontId="45" fillId="9" borderId="20" pivotButton="0" quotePrefix="0" xfId="0"/>
    <xf numFmtId="17" fontId="45" fillId="6" borderId="0" pivotButton="0" quotePrefix="0" xfId="0"/>
    <xf numFmtId="0" fontId="45" fillId="6" borderId="0" applyAlignment="1" pivotButton="0" quotePrefix="0" xfId="0">
      <alignment horizontal="right"/>
    </xf>
    <xf numFmtId="166" fontId="45" fillId="6" borderId="0" pivotButton="0" quotePrefix="0" xfId="1"/>
    <xf numFmtId="0" fontId="45" fillId="6" borderId="0" pivotButton="0" quotePrefix="0" xfId="0"/>
    <xf numFmtId="17" fontId="45" fillId="9" borderId="25" applyAlignment="1" pivotButton="0" quotePrefix="0" xfId="0">
      <alignment horizontal="right"/>
    </xf>
    <xf numFmtId="166" fontId="45" fillId="9" borderId="25" applyAlignment="1" pivotButton="0" quotePrefix="0" xfId="1">
      <alignment horizontal="right"/>
    </xf>
    <xf numFmtId="166" fontId="45" fillId="9" borderId="25" pivotButton="0" quotePrefix="0" xfId="1"/>
    <xf numFmtId="0" fontId="45" fillId="9" borderId="25" pivotButton="0" quotePrefix="0" xfId="0"/>
    <xf numFmtId="0" fontId="44" fillId="0" borderId="0" pivotButton="0" quotePrefix="0" xfId="0"/>
    <xf numFmtId="17" fontId="45" fillId="10" borderId="0" applyAlignment="1" pivotButton="0" quotePrefix="0" xfId="0">
      <alignment horizontal="right"/>
    </xf>
    <xf numFmtId="166" fontId="45" fillId="10" borderId="0" pivotButton="0" quotePrefix="0" xfId="1"/>
    <xf numFmtId="0" fontId="45" fillId="10" borderId="0" pivotButton="0" quotePrefix="0" xfId="0"/>
    <xf numFmtId="166" fontId="45" fillId="10" borderId="0" pivotButton="0" quotePrefix="0" xfId="1"/>
    <xf numFmtId="0" fontId="44" fillId="0" borderId="25" pivotButton="0" quotePrefix="0" xfId="0"/>
    <xf numFmtId="166" fontId="44" fillId="0" borderId="25" pivotButton="0" quotePrefix="0" xfId="1"/>
    <xf numFmtId="17" fontId="45" fillId="11" borderId="25" pivotButton="0" quotePrefix="0" xfId="0"/>
    <xf numFmtId="0" fontId="45" fillId="11" borderId="25" pivotButton="0" quotePrefix="0" xfId="0"/>
    <xf numFmtId="166" fontId="45" fillId="11" borderId="25" pivotButton="0" quotePrefix="0" xfId="1"/>
    <xf numFmtId="17" fontId="45" fillId="12" borderId="25" pivotButton="0" quotePrefix="0" xfId="0"/>
    <xf numFmtId="0" fontId="45" fillId="12" borderId="25" pivotButton="0" quotePrefix="0" xfId="0"/>
    <xf numFmtId="165" fontId="45" fillId="12" borderId="25" pivotButton="0" quotePrefix="0" xfId="1"/>
    <xf numFmtId="17" fontId="36" fillId="11" borderId="0" pivotButton="0" quotePrefix="0" xfId="0"/>
    <xf numFmtId="0" fontId="35" fillId="11" borderId="0" pivotButton="0" quotePrefix="0" xfId="0"/>
    <xf numFmtId="166" fontId="35" fillId="11" borderId="0" pivotButton="0" quotePrefix="0" xfId="1"/>
    <xf numFmtId="0" fontId="35" fillId="13" borderId="0" pivotButton="0" quotePrefix="0" xfId="0"/>
    <xf numFmtId="17" fontId="35" fillId="13" borderId="0" pivotButton="0" quotePrefix="0" xfId="0"/>
    <xf numFmtId="166" fontId="35" fillId="13" borderId="0" pivotButton="0" quotePrefix="0" xfId="1"/>
    <xf numFmtId="166" fontId="35" fillId="13" borderId="0" pivotButton="0" quotePrefix="0" xfId="1"/>
    <xf numFmtId="17" fontId="44" fillId="0" borderId="20" applyAlignment="1" pivotButton="0" quotePrefix="0" xfId="0">
      <alignment horizontal="right"/>
    </xf>
    <xf numFmtId="17" fontId="45" fillId="0" borderId="25" applyAlignment="1" pivotButton="0" quotePrefix="0" xfId="0">
      <alignment horizontal="right"/>
    </xf>
    <xf numFmtId="166" fontId="45" fillId="0" borderId="25" pivotButton="0" quotePrefix="0" xfId="1"/>
    <xf numFmtId="0" fontId="46" fillId="15" borderId="0" pivotButton="0" quotePrefix="0" xfId="0"/>
    <xf numFmtId="0" fontId="35" fillId="15" borderId="0" pivotButton="0" quotePrefix="0" xfId="0"/>
    <xf numFmtId="0" fontId="36" fillId="15" borderId="0" pivotButton="0" quotePrefix="0" xfId="0"/>
    <xf numFmtId="166" fontId="36" fillId="15" borderId="0" pivotButton="0" quotePrefix="0" xfId="1"/>
    <xf numFmtId="166" fontId="35" fillId="15" borderId="0" pivotButton="0" quotePrefix="0" xfId="1"/>
    <xf numFmtId="166" fontId="44" fillId="0" borderId="22" pivotButton="0" quotePrefix="0" xfId="1"/>
    <xf numFmtId="0" fontId="45" fillId="7" borderId="0" applyAlignment="1" pivotButton="0" quotePrefix="0" xfId="0">
      <alignment horizontal="right"/>
    </xf>
    <xf numFmtId="166" fontId="35" fillId="10" borderId="0" pivotButton="0" quotePrefix="0" xfId="1"/>
    <xf numFmtId="0" fontId="35" fillId="10" borderId="0" pivotButton="0" quotePrefix="0" xfId="0"/>
    <xf numFmtId="166" fontId="35" fillId="0" borderId="0" pivotButton="0" quotePrefix="0" xfId="1"/>
    <xf numFmtId="9" fontId="35" fillId="0" borderId="0" pivotButton="0" quotePrefix="0" xfId="2"/>
    <xf numFmtId="166" fontId="35" fillId="0" borderId="0" pivotButton="0" quotePrefix="0" xfId="0"/>
    <xf numFmtId="165" fontId="45" fillId="7" borderId="0" pivotButton="0" quotePrefix="0" xfId="0"/>
    <xf numFmtId="166" fontId="37" fillId="0" borderId="0" pivotButton="0" quotePrefix="0" xfId="0"/>
    <xf numFmtId="166" fontId="35" fillId="5" borderId="0" pivotButton="0" quotePrefix="0" xfId="0"/>
    <xf numFmtId="165" fontId="35" fillId="11" borderId="0" pivotButton="0" quotePrefix="0" xfId="1"/>
    <xf numFmtId="17" fontId="35" fillId="7" borderId="0" applyAlignment="1" pivotButton="0" quotePrefix="0" xfId="0">
      <alignment horizontal="right"/>
    </xf>
    <xf numFmtId="0" fontId="37" fillId="6" borderId="0" pivotButton="0" quotePrefix="0" xfId="0"/>
    <xf numFmtId="166" fontId="41" fillId="9" borderId="0" pivotButton="0" quotePrefix="0" xfId="1"/>
    <xf numFmtId="0" fontId="41" fillId="9" borderId="0" pivotButton="0" quotePrefix="0" xfId="0"/>
    <xf numFmtId="166" fontId="41" fillId="6" borderId="0" pivotButton="0" quotePrefix="0" xfId="1"/>
    <xf numFmtId="0" fontId="41" fillId="6" borderId="0" pivotButton="0" quotePrefix="0" xfId="0"/>
    <xf numFmtId="0" fontId="43" fillId="6" borderId="0" pivotButton="0" quotePrefix="0" xfId="0"/>
    <xf numFmtId="0" fontId="42" fillId="6" borderId="0" applyAlignment="1" pivotButton="0" quotePrefix="0" xfId="0">
      <alignment horizontal="left"/>
    </xf>
    <xf numFmtId="0" fontId="42" fillId="6" borderId="0" pivotButton="0" quotePrefix="0" xfId="0"/>
    <xf numFmtId="166" fontId="41" fillId="10" borderId="0" applyAlignment="1" pivotButton="0" quotePrefix="0" xfId="1">
      <alignment wrapText="1"/>
    </xf>
    <xf numFmtId="166" fontId="41" fillId="10" borderId="0" pivotButton="0" quotePrefix="0" xfId="1"/>
    <xf numFmtId="0" fontId="41" fillId="10" borderId="0" applyAlignment="1" pivotButton="0" quotePrefix="0" xfId="0">
      <alignment horizontal="right"/>
    </xf>
    <xf numFmtId="0" fontId="41" fillId="10" borderId="0" pivotButton="0" quotePrefix="0" xfId="0"/>
    <xf numFmtId="0" fontId="41" fillId="8" borderId="0" applyAlignment="1" pivotButton="0" quotePrefix="0" xfId="0">
      <alignment horizontal="right"/>
    </xf>
    <xf numFmtId="166" fontId="41" fillId="8" borderId="0" pivotButton="0" quotePrefix="0" xfId="1"/>
    <xf numFmtId="0" fontId="41" fillId="8" borderId="0" pivotButton="0" quotePrefix="0" xfId="0"/>
    <xf numFmtId="0" fontId="42" fillId="8" borderId="0" pivotButton="0" quotePrefix="0" xfId="0"/>
    <xf numFmtId="0" fontId="42" fillId="8" borderId="0" applyAlignment="1" pivotButton="0" quotePrefix="0" xfId="0">
      <alignment horizontal="right"/>
    </xf>
    <xf numFmtId="0" fontId="43" fillId="8" borderId="0" pivotButton="0" quotePrefix="0" xfId="0"/>
    <xf numFmtId="0" fontId="37" fillId="8" borderId="0" pivotButton="0" quotePrefix="0" xfId="0"/>
    <xf numFmtId="0" fontId="43" fillId="8" borderId="0" applyAlignment="1" pivotButton="0" quotePrefix="0" xfId="0">
      <alignment horizontal="right"/>
    </xf>
    <xf numFmtId="166" fontId="43" fillId="8" borderId="0" pivotButton="0" quotePrefix="0" xfId="1"/>
    <xf numFmtId="164" fontId="41" fillId="8" borderId="0" pivotButton="0" quotePrefix="0" xfId="1"/>
    <xf numFmtId="164" fontId="41" fillId="10" borderId="0" pivotButton="0" quotePrefix="0" xfId="1"/>
    <xf numFmtId="0" fontId="42" fillId="10" borderId="0" applyAlignment="1" pivotButton="0" quotePrefix="0" xfId="0">
      <alignment horizontal="left"/>
    </xf>
    <xf numFmtId="0" fontId="42" fillId="8" borderId="0" applyAlignment="1" pivotButton="0" quotePrefix="0" xfId="0">
      <alignment horizontal="center"/>
    </xf>
    <xf numFmtId="166" fontId="43" fillId="6" borderId="0" pivotButton="0" quotePrefix="0" xfId="1"/>
    <xf numFmtId="17" fontId="45" fillId="14" borderId="0" applyAlignment="1" pivotButton="0" quotePrefix="0" xfId="0">
      <alignment horizontal="right"/>
    </xf>
    <xf numFmtId="166" fontId="45" fillId="14" borderId="0" pivotButton="0" quotePrefix="0" xfId="1"/>
    <xf numFmtId="0" fontId="45" fillId="14" borderId="0" pivotButton="0" quotePrefix="0" xfId="0"/>
    <xf numFmtId="165" fontId="45" fillId="14" borderId="0" pivotButton="0" quotePrefix="0" xfId="1"/>
    <xf numFmtId="17" fontId="45" fillId="10" borderId="20" applyAlignment="1" pivotButton="0" quotePrefix="0" xfId="0">
      <alignment horizontal="right"/>
    </xf>
    <xf numFmtId="0" fontId="45" fillId="10" borderId="20" pivotButton="0" quotePrefix="0" xfId="0"/>
    <xf numFmtId="166" fontId="45" fillId="10" borderId="20" pivotButton="0" quotePrefix="0" xfId="1"/>
    <xf numFmtId="0" fontId="45" fillId="8" borderId="0" pivotButton="0" quotePrefix="0" xfId="0"/>
    <xf numFmtId="166" fontId="45" fillId="8" borderId="0" pivotButton="0" quotePrefix="0" xfId="1"/>
    <xf numFmtId="17" fontId="45" fillId="8" borderId="0" pivotButton="0" quotePrefix="0" xfId="0"/>
    <xf numFmtId="164" fontId="45" fillId="10" borderId="0" pivotButton="0" quotePrefix="0" xfId="0"/>
    <xf numFmtId="17" fontId="35" fillId="8" borderId="0" pivotButton="0" quotePrefix="0" xfId="0"/>
    <xf numFmtId="164" fontId="35" fillId="8" borderId="0" pivotButton="0" quotePrefix="0" xfId="1"/>
    <xf numFmtId="17" fontId="45" fillId="8" borderId="0" applyAlignment="1" pivotButton="0" quotePrefix="0" xfId="0">
      <alignment horizontal="right"/>
    </xf>
    <xf numFmtId="166" fontId="45" fillId="8" borderId="0" pivotButton="0" quotePrefix="0" xfId="1"/>
    <xf numFmtId="166" fontId="42" fillId="6" borderId="0" pivotButton="0" quotePrefix="0" xfId="1"/>
    <xf numFmtId="0" fontId="37" fillId="16" borderId="0" pivotButton="0" quotePrefix="0" xfId="0"/>
    <xf numFmtId="166" fontId="42" fillId="16" borderId="0" pivotButton="0" quotePrefix="0" xfId="1"/>
    <xf numFmtId="166" fontId="43" fillId="10" borderId="0" applyAlignment="1" pivotButton="0" quotePrefix="0" xfId="1">
      <alignment wrapText="1"/>
    </xf>
    <xf numFmtId="0" fontId="47" fillId="8" borderId="0" pivotButton="0" quotePrefix="0" xfId="0"/>
    <xf numFmtId="17" fontId="45" fillId="13" borderId="0" applyAlignment="1" pivotButton="0" quotePrefix="0" xfId="0">
      <alignment horizontal="right"/>
    </xf>
    <xf numFmtId="166" fontId="45" fillId="13" borderId="0" pivotButton="0" quotePrefix="0" xfId="1"/>
    <xf numFmtId="0" fontId="45" fillId="13" borderId="0" pivotButton="0" quotePrefix="0" xfId="0"/>
    <xf numFmtId="0" fontId="42" fillId="8" borderId="0" applyAlignment="1" pivotButton="0" quotePrefix="0" xfId="0">
      <alignment wrapText="1"/>
    </xf>
    <xf numFmtId="166" fontId="41" fillId="10" borderId="0" pivotButton="0" quotePrefix="0" xfId="1"/>
    <xf numFmtId="17" fontId="35" fillId="8" borderId="0" applyAlignment="1" pivotButton="0" quotePrefix="0" xfId="0">
      <alignment horizontal="right"/>
    </xf>
    <xf numFmtId="17" fontId="36" fillId="8" borderId="0" pivotButton="0" quotePrefix="0" xfId="0"/>
    <xf numFmtId="17" fontId="44" fillId="0" borderId="20" pivotButton="0" quotePrefix="0" xfId="0"/>
    <xf numFmtId="166" fontId="0" fillId="0" borderId="0" pivotButton="0" quotePrefix="0" xfId="1"/>
    <xf numFmtId="166" fontId="0" fillId="0" borderId="0" pivotButton="0" quotePrefix="0" xfId="0"/>
    <xf numFmtId="12" fontId="0" fillId="0" borderId="0" pivotButton="0" quotePrefix="0" xfId="0"/>
    <xf numFmtId="0" fontId="49" fillId="0" borderId="0" pivotButton="0" quotePrefix="0" xfId="0"/>
    <xf numFmtId="17" fontId="0" fillId="0" borderId="0" pivotButton="0" quotePrefix="0" xfId="0"/>
    <xf numFmtId="166" fontId="48" fillId="0" borderId="0" pivotButton="0" quotePrefix="0" xfId="0"/>
    <xf numFmtId="0" fontId="0" fillId="11" borderId="4" pivotButton="0" quotePrefix="0" xfId="0"/>
    <xf numFmtId="166" fontId="49" fillId="11" borderId="4" pivotButton="0" quotePrefix="0" xfId="0"/>
    <xf numFmtId="167" fontId="0" fillId="0" borderId="0" pivotButton="0" quotePrefix="0" xfId="2"/>
    <xf numFmtId="0" fontId="50" fillId="0" borderId="0" pivotButton="0" quotePrefix="0" xfId="0"/>
    <xf numFmtId="166" fontId="50" fillId="0" borderId="0" pivotButton="0" quotePrefix="0" xfId="0"/>
    <xf numFmtId="0" fontId="48" fillId="0" borderId="0" pivotButton="0" quotePrefix="0" xfId="0"/>
    <xf numFmtId="166" fontId="48" fillId="0" borderId="0" pivotButton="0" quotePrefix="0" xfId="1"/>
    <xf numFmtId="166" fontId="0" fillId="11" borderId="4" pivotButton="0" quotePrefix="0" xfId="0"/>
    <xf numFmtId="10" fontId="0" fillId="0" borderId="0" pivotButton="0" quotePrefix="0" xfId="0"/>
    <xf numFmtId="17" fontId="41" fillId="10" borderId="0" pivotButton="0" quotePrefix="0" xfId="0"/>
    <xf numFmtId="165" fontId="35" fillId="7" borderId="0" pivotButton="0" quotePrefix="0" xfId="1"/>
    <xf numFmtId="0" fontId="41" fillId="17" borderId="0" applyAlignment="1" pivotButton="0" quotePrefix="0" xfId="0">
      <alignment horizontal="right"/>
    </xf>
    <xf numFmtId="166" fontId="41" fillId="17" borderId="0" pivotButton="0" quotePrefix="0" xfId="1"/>
    <xf numFmtId="0" fontId="41" fillId="5" borderId="0" pivotButton="0" quotePrefix="0" xfId="0"/>
    <xf numFmtId="0" fontId="41" fillId="17" borderId="0" pivotButton="0" quotePrefix="0" xfId="0"/>
    <xf numFmtId="0" fontId="51" fillId="2" borderId="0" pivotButton="0" quotePrefix="0" xfId="0"/>
    <xf numFmtId="0" fontId="52" fillId="2" borderId="0" pivotButton="0" quotePrefix="0" xfId="0"/>
    <xf numFmtId="0" fontId="52" fillId="3" borderId="0" pivotButton="0" quotePrefix="0" xfId="0"/>
    <xf numFmtId="0" fontId="53" fillId="0" borderId="0" pivotButton="0" quotePrefix="0" xfId="0"/>
    <xf numFmtId="0" fontId="53" fillId="3" borderId="0" pivotButton="0" quotePrefix="0" xfId="0"/>
    <xf numFmtId="0" fontId="53" fillId="3" borderId="18" pivotButton="0" quotePrefix="0" xfId="0"/>
    <xf numFmtId="164" fontId="53" fillId="3" borderId="18" pivotButton="0" quotePrefix="0" xfId="0"/>
    <xf numFmtId="10" fontId="53" fillId="3" borderId="18" pivotButton="0" quotePrefix="0" xfId="0"/>
    <xf numFmtId="0" fontId="54" fillId="3" borderId="0" pivotButton="0" quotePrefix="0" xfId="0"/>
    <xf numFmtId="0" fontId="53" fillId="3" borderId="13" pivotButton="0" quotePrefix="0" xfId="0"/>
    <xf numFmtId="0" fontId="53" fillId="3" borderId="8" pivotButton="0" quotePrefix="0" xfId="0"/>
    <xf numFmtId="0" fontId="55" fillId="3" borderId="0" pivotButton="0" quotePrefix="0" xfId="0"/>
    <xf numFmtId="164" fontId="55" fillId="3" borderId="0" pivotButton="0" quotePrefix="0" xfId="0"/>
    <xf numFmtId="164" fontId="53" fillId="3" borderId="0" pivotButton="0" quotePrefix="0" xfId="0"/>
    <xf numFmtId="0" fontId="53" fillId="18" borderId="13" pivotButton="0" quotePrefix="0" xfId="0"/>
    <xf numFmtId="0" fontId="56" fillId="18" borderId="0" applyAlignment="1" pivotButton="0" quotePrefix="0" xfId="0">
      <alignment horizontal="right"/>
    </xf>
    <xf numFmtId="0" fontId="56" fillId="18" borderId="0" pivotButton="0" quotePrefix="0" xfId="0"/>
    <xf numFmtId="164" fontId="56" fillId="18" borderId="0" pivotButton="0" quotePrefix="0" xfId="0"/>
    <xf numFmtId="0" fontId="17" fillId="3" borderId="13" pivotButton="0" quotePrefix="0" xfId="0"/>
    <xf numFmtId="0" fontId="53" fillId="18" borderId="13" applyAlignment="1" pivotButton="0" quotePrefix="0" xfId="0">
      <alignment horizontal="right"/>
    </xf>
    <xf numFmtId="0" fontId="56" fillId="3" borderId="0" applyAlignment="1" pivotButton="0" quotePrefix="0" xfId="0">
      <alignment horizontal="right"/>
    </xf>
    <xf numFmtId="164" fontId="56" fillId="3" borderId="8" pivotButton="0" quotePrefix="0" xfId="0"/>
    <xf numFmtId="164" fontId="57" fillId="3" borderId="8" pivotButton="0" quotePrefix="0" xfId="0"/>
    <xf numFmtId="164" fontId="56" fillId="18" borderId="8" pivotButton="0" quotePrefix="0" xfId="0"/>
    <xf numFmtId="164" fontId="17" fillId="0" borderId="0" pivotButton="0" quotePrefix="0" xfId="0"/>
    <xf numFmtId="0" fontId="53" fillId="0" borderId="8" pivotButton="0" quotePrefix="0" xfId="0"/>
    <xf numFmtId="0" fontId="56" fillId="3" borderId="0" pivotButton="0" quotePrefix="0" xfId="0"/>
    <xf numFmtId="0" fontId="56" fillId="3" borderId="8" pivotButton="0" quotePrefix="0" xfId="0"/>
    <xf numFmtId="164" fontId="56" fillId="18" borderId="8" applyAlignment="1" pivotButton="0" quotePrefix="0" xfId="0">
      <alignment horizontal="right"/>
    </xf>
    <xf numFmtId="164" fontId="17" fillId="18" borderId="0" pivotButton="0" quotePrefix="0" xfId="0"/>
    <xf numFmtId="164" fontId="53" fillId="3" borderId="8" pivotButton="0" quotePrefix="0" xfId="0"/>
    <xf numFmtId="0" fontId="53" fillId="3" borderId="14" pivotButton="0" quotePrefix="0" xfId="0"/>
    <xf numFmtId="0" fontId="53" fillId="3" borderId="10" pivotButton="0" quotePrefix="0" xfId="0"/>
    <xf numFmtId="0" fontId="54" fillId="3" borderId="11" pivotButton="0" quotePrefix="0" xfId="0"/>
    <xf numFmtId="0" fontId="0" fillId="8" borderId="0" pivotButton="0" quotePrefix="0" xfId="0"/>
    <xf numFmtId="0" fontId="53" fillId="3" borderId="0" pivotButton="0" quotePrefix="0" xfId="0"/>
    <xf numFmtId="0" fontId="53" fillId="18" borderId="0" pivotButton="0" quotePrefix="0" xfId="0"/>
    <xf numFmtId="0" fontId="56" fillId="18" borderId="0" pivotButton="0" quotePrefix="0" xfId="0"/>
    <xf numFmtId="0" fontId="53" fillId="18" borderId="0" applyAlignment="1" pivotButton="0" quotePrefix="0" xfId="0">
      <alignment horizontal="right"/>
    </xf>
    <xf numFmtId="0" fontId="54" fillId="3" borderId="10" pivotButton="0" quotePrefix="0" xfId="0"/>
    <xf numFmtId="0" fontId="52" fillId="19" borderId="0" pivotButton="0" quotePrefix="0" xfId="0"/>
    <xf numFmtId="0" fontId="53" fillId="19" borderId="0" pivotButton="0" quotePrefix="0" xfId="0"/>
    <xf numFmtId="0" fontId="53" fillId="19" borderId="0" applyAlignment="1" pivotButton="0" quotePrefix="0" xfId="0">
      <alignment horizontal="center"/>
    </xf>
    <xf numFmtId="0" fontId="55" fillId="19" borderId="0" pivotButton="0" quotePrefix="0" xfId="0"/>
    <xf numFmtId="164" fontId="56" fillId="19" borderId="0" pivotButton="0" quotePrefix="0" xfId="0"/>
    <xf numFmtId="0" fontId="17" fillId="19" borderId="0" pivotButton="0" quotePrefix="0" xfId="0"/>
    <xf numFmtId="164" fontId="53" fillId="19" borderId="0" pivotButton="0" quotePrefix="0" xfId="0"/>
    <xf numFmtId="0" fontId="0" fillId="8" borderId="0" pivotButton="0" quotePrefix="0" xfId="0"/>
    <xf numFmtId="0" fontId="53" fillId="20" borderId="13" pivotButton="0" quotePrefix="0" xfId="0"/>
    <xf numFmtId="0" fontId="53" fillId="20" borderId="0" pivotButton="0" quotePrefix="0" xfId="0"/>
    <xf numFmtId="165" fontId="53" fillId="20" borderId="0" pivotButton="0" quotePrefix="0" xfId="0"/>
    <xf numFmtId="0" fontId="58" fillId="3" borderId="0" applyAlignment="1" pivotButton="0" quotePrefix="0" xfId="0">
      <alignment horizontal="right"/>
    </xf>
    <xf numFmtId="0" fontId="56" fillId="19" borderId="0" applyAlignment="1" pivotButton="0" quotePrefix="0" xfId="0">
      <alignment horizontal="right"/>
    </xf>
    <xf numFmtId="164" fontId="56" fillId="19" borderId="8" pivotButton="0" quotePrefix="0" xfId="0"/>
    <xf numFmtId="164" fontId="53" fillId="19" borderId="8" pivotButton="0" quotePrefix="0" xfId="0"/>
    <xf numFmtId="164" fontId="0" fillId="8" borderId="0" pivotButton="0" quotePrefix="0" xfId="0"/>
    <xf numFmtId="166" fontId="58" fillId="3" borderId="0" pivotButton="0" quotePrefix="0" xfId="1"/>
    <xf numFmtId="0" fontId="51" fillId="2" borderId="1" applyAlignment="1" pivotButton="0" quotePrefix="0" xfId="0">
      <alignment horizontal="left"/>
    </xf>
    <xf numFmtId="0" fontId="53" fillId="3" borderId="0" applyAlignment="1" pivotButton="0" quotePrefix="0" xfId="0">
      <alignment horizontal="right"/>
    </xf>
    <xf numFmtId="0" fontId="5" fillId="2" borderId="1" applyAlignment="1" pivotButton="0" quotePrefix="0" xfId="0">
      <alignment horizontal="left"/>
    </xf>
    <xf numFmtId="0" fontId="51" fillId="2" borderId="1" applyAlignment="1" pivotButton="0" quotePrefix="0" xfId="0">
      <alignment horizontal="left"/>
    </xf>
    <xf numFmtId="0" fontId="53" fillId="3" borderId="12" applyAlignment="1" pivotButton="0" quotePrefix="0" xfId="0">
      <alignment horizontal="center"/>
    </xf>
    <xf numFmtId="0" fontId="53" fillId="3" borderId="5" applyAlignment="1" pivotButton="0" quotePrefix="0" xfId="0">
      <alignment horizontal="center"/>
    </xf>
    <xf numFmtId="0" fontId="53" fillId="3" borderId="6" applyAlignment="1" pivotButton="0" quotePrefix="0" xfId="0">
      <alignment horizontal="center"/>
    </xf>
    <xf numFmtId="0" fontId="53" fillId="3" borderId="13" applyAlignment="1" pivotButton="0" quotePrefix="0" xfId="0">
      <alignment horizontal="right"/>
    </xf>
    <xf numFmtId="0" fontId="53" fillId="3" borderId="0" applyAlignment="1" pivotButton="0" quotePrefix="0" xfId="0">
      <alignment horizontal="right"/>
    </xf>
    <xf numFmtId="0" fontId="44" fillId="0" borderId="22" applyAlignment="1" pivotButton="0" quotePrefix="0" xfId="0">
      <alignment horizontal="left"/>
    </xf>
    <xf numFmtId="17" fontId="44" fillId="0" borderId="22" applyAlignment="1" pivotButton="0" quotePrefix="0" xfId="0">
      <alignment horizontal="left"/>
    </xf>
    <xf numFmtId="0" fontId="5" fillId="2" borderId="1" applyAlignment="1" pivotButton="0" quotePrefix="0" xfId="0">
      <alignment horizontal="left"/>
    </xf>
    <xf numFmtId="164" fontId="41" fillId="8" borderId="0" pivotButton="0" quotePrefix="0" xfId="1"/>
    <xf numFmtId="164" fontId="41" fillId="10" borderId="0" pivotButton="0" quotePrefix="0" xfId="1"/>
    <xf numFmtId="0" fontId="0" fillId="0" borderId="22" pivotButton="0" quotePrefix="0" xfId="0"/>
    <xf numFmtId="165" fontId="45" fillId="7" borderId="0" pivotButton="0" quotePrefix="0" xfId="0"/>
    <xf numFmtId="165" fontId="35" fillId="0" borderId="0" pivotButton="0" quotePrefix="0" xfId="1"/>
    <xf numFmtId="165" fontId="45" fillId="0" borderId="0" pivotButton="0" quotePrefix="0" xfId="1"/>
    <xf numFmtId="165" fontId="45" fillId="14" borderId="0" pivotButton="0" quotePrefix="0" xfId="1"/>
    <xf numFmtId="165" fontId="35" fillId="7" borderId="0" pivotButton="0" quotePrefix="0" xfId="1"/>
    <xf numFmtId="164" fontId="45" fillId="10" borderId="0" pivotButton="0" quotePrefix="0" xfId="0"/>
    <xf numFmtId="164" fontId="35" fillId="8" borderId="0" pivotButton="0" quotePrefix="0" xfId="1"/>
    <xf numFmtId="165" fontId="35" fillId="0" borderId="0" pivotButton="0" quotePrefix="0" xfId="0"/>
    <xf numFmtId="165" fontId="45" fillId="7" borderId="20" pivotButton="0" quotePrefix="0" xfId="1"/>
    <xf numFmtId="165" fontId="45" fillId="12" borderId="25" pivotButton="0" quotePrefix="0" xfId="1"/>
    <xf numFmtId="165" fontId="35" fillId="11" borderId="0" pivotButton="0" quotePrefix="0" xfId="1"/>
  </cellXfs>
  <cellStyles count="3">
    <cellStyle name="Normal" xfId="0" builtinId="0"/>
    <cellStyle name="Currency" xfId="1" builtinId="4"/>
    <cellStyle name="Percent" xfId="2" builtinId="5"/>
  </cellStyles>
  <dxfs count="70">
    <dxf>
      <font>
        <name val="Aptos Narrow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numFmt numFmtId="22" formatCode="mmm\-yy"/>
    </dxf>
    <dxf>
      <font>
        <name val="Aptos Narrow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</dxf>
    <dxf>
      <border outline="0">
        <bottom style="thin">
          <color theme="6"/>
        </bottom>
      </border>
    </dxf>
    <dxf>
      <border outline="0">
        <top style="thin">
          <color theme="6"/>
        </top>
      </border>
    </dxf>
    <dxf>
      <font>
        <name val="Aptos Narrow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</dxf>
    <dxf>
      <font>
        <name val="Aptos Narrow"/>
        <family val="2"/>
        <b val="1"/>
        <strike val="0"/>
        <outline val="0"/>
        <shadow val="0"/>
        <condense val="0"/>
        <color theme="6" tint="-0.249977111117893"/>
        <extend val="0"/>
        <sz val="10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6" tint="-0.249977111117893"/>
        <extend val="0"/>
        <sz val="10"/>
        <vertAlign val="baseline"/>
        <scheme val="minor"/>
      </font>
      <fill>
        <patternFill patternType="solid">
          <fgColor theme="6" tint="0.7999816888943144"/>
          <bgColor theme="0"/>
        </patternFill>
      </fill>
    </dxf>
    <dxf>
      <font>
        <name val="Aptos Narrow"/>
        <family val="2"/>
        <strike val="0"/>
        <outline val="0"/>
        <shadow val="0"/>
        <condense val="0"/>
        <color theme="6" tint="-0.249977111117893"/>
        <extend val="0"/>
        <sz val="10"/>
        <vertAlign val="baseline"/>
        <scheme val="minor"/>
      </font>
      <numFmt numFmtId="166" formatCode="_-&quot;$&quot;* #,##0.00_-;\-&quot;$&quot;* #,##0.00_-;_-&quot;$&quot;* &quot;-&quot;??_-;_-@_-"/>
      <fill>
        <patternFill patternType="solid">
          <fgColor theme="6" tint="0.7999816888943144"/>
          <bgColor theme="0"/>
        </patternFill>
      </fill>
    </dxf>
    <dxf>
      <font>
        <name val="Aptos Narrow"/>
        <family val="2"/>
        <strike val="0"/>
        <outline val="0"/>
        <shadow val="0"/>
        <condense val="0"/>
        <color theme="6" tint="-0.249977111117893"/>
        <extend val="0"/>
        <sz val="10"/>
        <vertAlign val="baseline"/>
        <scheme val="minor"/>
      </font>
      <numFmt numFmtId="166" formatCode="_-&quot;$&quot;* #,##0.00_-;\-&quot;$&quot;* #,##0.00_-;_-&quot;$&quot;* &quot;-&quot;??_-;_-@_-"/>
      <fill>
        <patternFill patternType="solid">
          <fgColor theme="6" tint="0.7999816888943144"/>
          <bgColor theme="0"/>
        </patternFill>
      </fill>
    </dxf>
    <dxf>
      <font>
        <name val="Aptos Narrow"/>
        <family val="2"/>
        <strike val="0"/>
        <outline val="0"/>
        <shadow val="0"/>
        <condense val="0"/>
        <color theme="6" tint="-0.249977111117893"/>
        <extend val="0"/>
        <sz val="10"/>
        <vertAlign val="baseline"/>
        <scheme val="minor"/>
      </font>
      <numFmt numFmtId="166" formatCode="_-&quot;$&quot;* #,##0.00_-;\-&quot;$&quot;* #,##0.00_-;_-&quot;$&quot;* &quot;-&quot;??_-;_-@_-"/>
      <fill>
        <patternFill patternType="solid">
          <fgColor theme="6" tint="0.7999816888943144"/>
          <bgColor theme="0"/>
        </patternFill>
      </fill>
    </dxf>
    <dxf>
      <font>
        <name val="Aptos Narrow"/>
        <family val="2"/>
        <strike val="0"/>
        <outline val="0"/>
        <shadow val="0"/>
        <condense val="0"/>
        <color theme="6" tint="-0.249977111117893"/>
        <extend val="0"/>
        <sz val="10"/>
        <vertAlign val="baseline"/>
        <scheme val="minor"/>
      </font>
      <numFmt numFmtId="22" formatCode="mmm\-yy"/>
      <fill>
        <patternFill patternType="solid">
          <fgColor theme="6" tint="0.7999816888943144"/>
          <bgColor theme="0"/>
        </patternFill>
      </fill>
      <alignment horizontal="right" vertical="bottom"/>
    </dxf>
    <dxf>
      <border outline="0">
        <top style="thin">
          <color theme="6"/>
        </top>
        <bottom style="thin">
          <color theme="6"/>
        </bottom>
      </border>
    </dxf>
    <dxf>
      <font>
        <name val="Aptos Narrow"/>
        <family val="2"/>
        <strike val="0"/>
        <outline val="0"/>
        <shadow val="0"/>
        <condense val="0"/>
        <color theme="6" tint="-0.249977111117893"/>
        <extend val="0"/>
        <sz val="10"/>
        <vertAlign val="baseline"/>
        <scheme val="minor"/>
      </font>
      <fill>
        <patternFill patternType="solid">
          <fgColor theme="6" tint="0.7999816888943144"/>
          <bgColor theme="0"/>
        </patternFill>
      </fill>
    </dxf>
    <dxf>
      <font>
        <name val="Aptos Narrow"/>
        <family val="2"/>
        <b val="1"/>
        <strike val="0"/>
        <outline val="0"/>
        <shadow val="0"/>
        <condense val="0"/>
        <color theme="6" tint="-0.249977111117893"/>
        <extend val="0"/>
        <sz val="10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</dxf>
    <dxf>
      <alignment horizontal="right" vertical="bottom"/>
    </dxf>
    <dxf>
      <font>
        <name val="Aptos Narrow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numFmt numFmtId="22" formatCode="mmm\-yy"/>
    </dxf>
    <dxf>
      <font>
        <name val="Aptos Narrow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0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fill>
        <patternFill patternType="solid">
          <fgColor indexed="64"/>
          <bgColor theme="7" tint="0.7999816888943144"/>
        </patternFill>
      </fill>
    </dxf>
    <dxf>
      <font>
        <name val="Aptos Narrow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fill>
        <patternFill patternType="solid">
          <fgColor indexed="64"/>
          <bgColor theme="7" tint="0.7999816888943144"/>
        </patternFill>
      </fill>
    </dxf>
    <dxf>
      <font>
        <name val="Aptos Narrow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fill>
        <patternFill patternType="solid">
          <fgColor indexed="64"/>
          <bgColor theme="7" tint="0.7999816888943144"/>
        </patternFill>
      </fill>
    </dxf>
    <dxf>
      <font>
        <name val="Aptos Narrow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fill>
        <patternFill patternType="solid">
          <fgColor indexed="64"/>
          <bgColor theme="7" tint="0.7999816888943144"/>
        </patternFill>
      </fill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0"/>
        <vertAlign val="baseline"/>
        <scheme val="minor"/>
      </font>
      <numFmt numFmtId="22" formatCode="mmm\-yy"/>
      <fill>
        <patternFill patternType="solid">
          <fgColor indexed="64"/>
          <bgColor theme="7" tint="0.7999816888943144"/>
        </patternFill>
      </fill>
    </dxf>
    <dxf>
      <fill>
        <patternFill patternType="solid">
          <fgColor indexed="64"/>
          <bgColor theme="7" tint="0.7999816888943144"/>
        </patternFill>
      </fill>
    </dxf>
    <dxf>
      <font>
        <name val="Aptos Narrow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numFmt numFmtId="22" formatCode="mmm\-yy"/>
    </dxf>
    <dxf>
      <font>
        <name val="Aptos Narrow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numFmt numFmtId="22" formatCode="mmm\-yy"/>
    </dxf>
    <dxf>
      <font>
        <name val="Aptos Narrow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numFmt numFmtId="22" formatCode="mmm\-yy"/>
    </dxf>
    <dxf>
      <font>
        <name val="Aptos Narrow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numFmt numFmtId="22" formatCode="mmm\-yy"/>
      <alignment horizontal="right" vertical="bottom"/>
    </dxf>
    <dxf>
      <font>
        <name val="Aptos Narrow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tc={B9C89281-CFB3-4591-846E-73896FC863AF}</author>
  </authors>
  <commentList>
    <comment ref="E7" authorId="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Adjusted for my 30% share </t>
      </text>
    </comment>
  </commentList>
</comments>
</file>

<file path=xl/comments/comment2.xml><?xml version="1.0" encoding="utf-8"?>
<comments xmlns="http://schemas.openxmlformats.org/spreadsheetml/2006/main">
  <authors>
    <author>tc={E2FD7671-F45C-4BD3-8C21-CB5DA7CCD56A}</author>
    <author>tc={C65EE995-A7D7-4679-938C-4952E8E45292}</author>
    <author>tc={6E535F1B-B481-4B0F-8A63-A4A5E04A2E81}</author>
    <author>tc={3374382A-417E-47B4-A4DF-E33F047A4B59}</author>
    <author>tc={2C8F64B8-25D6-4A60-8D1D-22174D6B0962}</author>
    <author>tc={17A36A83-731C-4CAC-B6D9-E0CAEB61383C}</author>
    <author>tc={BEE59F65-A4BC-4C6D-A531-59BA5CCE2734}</author>
    <author>tc={A0C33933-269E-4E54-A409-A85B17C31DD4}</author>
  </authors>
  <commentList>
    <comment ref="D5" authorId="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Fig tree (cement) and herbs </t>
      </text>
    </comment>
    <comment ref="C6" authorId="1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Sheets for front room couch </t>
      </text>
    </comment>
    <comment ref="C9" authorId="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Fig Tree </t>
      </text>
    </comment>
    <comment ref="C129" authorId="3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This was not formally done - just a bank transfer from my personal account into his </t>
      </text>
    </comment>
    <comment ref="C131" authorId="4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This was a direct bank transfer to a director at CBRE to assist funding the birthday party </t>
      </text>
    </comment>
    <comment ref="C140" authorId="5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This was a donation for a client of mine </t>
      </text>
    </comment>
    <comment ref="C288" authorId="6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 was working at the CBRE office everyday in Lisbon </t>
      </text>
    </comment>
    <comment ref="C290" authorId="7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 worked every day in the CBRE Portugal office </t>
      </text>
    </comment>
  </commentList>
</comments>
</file>

<file path=xl/tables/table1.xml><?xml version="1.0" encoding="utf-8"?>
<table xmlns="http://schemas.openxmlformats.org/spreadsheetml/2006/main" id="1" name="Table6" displayName="Table6" ref="B100:F125" headerRowCount="1" totalsRowShown="0" headerRowDxfId="69">
  <autoFilter ref="B100:F125"/>
  <sortState ref="B101:F119">
    <sortCondition descending="1" ref="B100:B119"/>
  </sortState>
  <tableColumns count="5">
    <tableColumn id="1" name="Date " dataDxfId="68"/>
    <tableColumn id="2" name="Item " dataDxfId="67" dataCellStyle="Currency"/>
    <tableColumn id="5" name="Sub category " dataDxfId="66" dataCellStyle="Currency"/>
    <tableColumn id="3" name="Cost " dataDxfId="65" dataCellStyle="Currency"/>
    <tableColumn id="4" name="Payment Method " dataDxfId="64"/>
  </tableColumns>
  <tableStyleInfo name="TableStyleLight4" showFirstColumn="0" showLastColumn="0" showRowStripes="1" showColumnStripes="0"/>
</table>
</file>

<file path=xl/tables/table2.xml><?xml version="1.0" encoding="utf-8"?>
<table xmlns="http://schemas.openxmlformats.org/spreadsheetml/2006/main" id="2" name="Table8" displayName="Table8" ref="B208:F255" headerRowCount="1" totalsRowShown="0" headerRowDxfId="63">
  <autoFilter ref="B208:F255"/>
  <sortState ref="B209:F246">
    <sortCondition descending="1" ref="B208:B246"/>
  </sortState>
  <tableColumns count="5">
    <tableColumn id="1" name="Date " dataDxfId="62"/>
    <tableColumn id="2" name="Event " dataDxfId="61"/>
    <tableColumn id="6" name="Sub Category " dataDxfId="60"/>
    <tableColumn id="3" name="Cost " dataDxfId="59" dataCellStyle="Currency"/>
    <tableColumn id="4" name="Payment Method " dataDxfId="58"/>
  </tableColumns>
  <tableStyleInfo name="TableStyleLight4" showFirstColumn="0" showLastColumn="0" showRowStripes="1" showColumnStripes="0"/>
</table>
</file>

<file path=xl/tables/table3.xml><?xml version="1.0" encoding="utf-8"?>
<table xmlns="http://schemas.openxmlformats.org/spreadsheetml/2006/main" id="3" name="Table9" displayName="Table9" ref="B257:F276" headerRowCount="1" totalsRowShown="0" headerRowDxfId="57">
  <autoFilter ref="B257:F276"/>
  <sortState ref="B258:F276">
    <sortCondition descending="1" ref="B257:B276"/>
  </sortState>
  <tableColumns count="5">
    <tableColumn id="1" name="Date " dataDxfId="56"/>
    <tableColumn id="2" name="Item " dataDxfId="55"/>
    <tableColumn id="5" name="Sub Category " dataDxfId="54"/>
    <tableColumn id="3" name="Cost " dataDxfId="53" dataCellStyle="Currency"/>
    <tableColumn id="4" name="Payment Method " dataDxfId="52"/>
  </tableColumns>
  <tableStyleInfo name="TableStyleLight4" showFirstColumn="0" showLastColumn="0" showRowStripes="1" showColumnStripes="0"/>
</table>
</file>

<file path=xl/tables/table4.xml><?xml version="1.0" encoding="utf-8"?>
<table xmlns="http://schemas.openxmlformats.org/spreadsheetml/2006/main" id="4" name="Table11" displayName="Table11" ref="B346:F358" headerRowCount="1" totalsRowShown="0" headerRowDxfId="51">
  <autoFilter ref="B346:F358"/>
  <sortState ref="B347:F374">
    <sortCondition descending="1" ref="B346:B374"/>
  </sortState>
  <tableColumns count="5">
    <tableColumn id="1" name="Date " dataDxfId="50"/>
    <tableColumn id="2" name="Item " dataDxfId="49"/>
    <tableColumn id="5" name="Sub Item " dataDxfId="48"/>
    <tableColumn id="3" name="Cost " dataDxfId="47" dataCellStyle="Currency"/>
    <tableColumn id="4" name="Payment Method " dataDxfId="46"/>
  </tableColumns>
  <tableStyleInfo name="TableStyleLight4" showFirstColumn="0" showLastColumn="0" showRowStripes="1" showColumnStripes="0"/>
</table>
</file>

<file path=xl/tables/table5.xml><?xml version="1.0" encoding="utf-8"?>
<table xmlns="http://schemas.openxmlformats.org/spreadsheetml/2006/main" id="5" name="Table12" displayName="Table12" ref="B183:F203" headerRowCount="1" totalsRowShown="0" headerRowDxfId="45" dataDxfId="44">
  <autoFilter ref="B183:F203"/>
  <sortState ref="B184:F203">
    <sortCondition ref="B183:B203"/>
  </sortState>
  <tableColumns count="5">
    <tableColumn id="1" name="Date " dataDxfId="43"/>
    <tableColumn id="2" name="Item " dataDxfId="42"/>
    <tableColumn id="5" name="Sub Item " dataDxfId="41"/>
    <tableColumn id="3" name="Cost " dataDxfId="40" dataCellStyle="Currency"/>
    <tableColumn id="4" name="Payment Method " dataDxfId="39"/>
  </tableColumns>
  <tableStyleInfo name="TableStyleLight4" showFirstColumn="0" showLastColumn="0" showRowStripes="1" showColumnStripes="0"/>
</table>
</file>

<file path=xl/tables/table6.xml><?xml version="1.0" encoding="utf-8"?>
<table xmlns="http://schemas.openxmlformats.org/spreadsheetml/2006/main" id="6" name="Table15" displayName="Table15" ref="A280:F341" headerRowCount="1" totalsRowShown="0" headerRowDxfId="38" dataDxfId="37">
  <autoFilter ref="A280:F341"/>
  <sortState ref="A281:F337">
    <sortCondition ref="A280:A337"/>
  </sortState>
  <tableColumns count="6">
    <tableColumn id="1" name="Location " dataDxfId="36"/>
    <tableColumn id="2" name="Date " dataDxfId="35"/>
    <tableColumn id="3" name="Item " dataDxfId="34"/>
    <tableColumn id="4" name="Sub Item " dataDxfId="33"/>
    <tableColumn id="5" name="Cost " dataDxfId="32" dataCellStyle="Currency"/>
    <tableColumn id="6" name="Column1" dataDxfId="31"/>
  </tableColumns>
  <tableStyleInfo name="TableStyleLight4" showFirstColumn="0" showLastColumn="0" showRowStripes="1" showColumnStripes="0"/>
</table>
</file>

<file path=xl/tables/table7.xml><?xml version="1.0" encoding="utf-8"?>
<table xmlns="http://schemas.openxmlformats.org/spreadsheetml/2006/main" id="7" name="Table37" displayName="Table37" ref="B76:F82" headerRowCount="1" totalsRowShown="0" headerRowDxfId="30" dataDxfId="29" headerRowCellStyle="Currency">
  <autoFilter ref="B76:F82"/>
  <tableColumns count="5">
    <tableColumn id="1" name="Date" dataDxfId="28"/>
    <tableColumn id="2" name="Item " dataDxfId="27"/>
    <tableColumn id="3" name="Subcategory" dataDxfId="26"/>
    <tableColumn id="4" name="Cost " dataDxfId="25" dataCellStyle="Currency"/>
    <tableColumn id="5" name="Payment Method " dataDxfId="24"/>
  </tableColumns>
  <tableStyleInfo name="TableStyleLight4" showFirstColumn="0" showLastColumn="0" showRowStripes="1" showColumnStripes="0"/>
</table>
</file>

<file path=xl/tables/table8.xml><?xml version="1.0" encoding="utf-8"?>
<table xmlns="http://schemas.openxmlformats.org/spreadsheetml/2006/main" id="8" name="Table38" displayName="Table38" ref="B4:F54" headerRowCount="1" totalsRowShown="0" headerRowDxfId="23" dataDxfId="22" tableBorderDxfId="21" dataCellStyle="Currency">
  <autoFilter ref="B4:F54">
    <filterColumn colId="2" hiddenButton="0" showButton="1">
      <filters>
        <filter val="Furniture &amp; décor"/>
      </filters>
    </filterColumn>
  </autoFilter>
  <sortState ref="B5:F54">
    <sortCondition descending="1" ref="B4:B54"/>
  </sortState>
  <tableColumns count="5">
    <tableColumn id="1" name="Date " dataDxfId="20"/>
    <tableColumn id="2" name="Item " dataDxfId="19" dataCellStyle="Currency"/>
    <tableColumn id="3" name="Subcategory " dataDxfId="18" dataCellStyle="Currency"/>
    <tableColumn id="4" name="Cost " dataDxfId="17" dataCellStyle="Currency"/>
    <tableColumn id="5" name="Payment Method " dataDxfId="16"/>
  </tableColumns>
  <tableStyleInfo name="TableStyleLight4" showFirstColumn="0" showLastColumn="0" showRowStripes="1" showColumnStripes="0"/>
</table>
</file>

<file path=xl/tables/table9.xml><?xml version="1.0" encoding="utf-8"?>
<table xmlns="http://schemas.openxmlformats.org/spreadsheetml/2006/main" id="9" name="Table39" displayName="Table39" ref="B94:F96" headerRowCount="1" totalsRowShown="0" headerRowDxfId="15" dataDxfId="14" headerRowBorderDxfId="12" tableBorderDxfId="13">
  <autoFilter ref="B94:F96"/>
  <tableColumns count="5">
    <tableColumn id="1" name="Date" dataDxfId="11"/>
    <tableColumn id="2" name="Item " dataDxfId="10"/>
    <tableColumn id="3" name="Subcategory" dataDxfId="9"/>
    <tableColumn id="4" name="Cost " dataDxfId="8"/>
    <tableColumn id="5" name="Payment Method " dataDxfId="7"/>
  </tableColumns>
  <tableStyleInfo name="TableStyleLight4" showFirstColumn="0" showLastColumn="0" showRowStripes="1" showColumnStripes="0"/>
</table>
</file>

<file path=xl/tables/table10.xml><?xml version="1.0" encoding="utf-8"?>
<table xmlns="http://schemas.openxmlformats.org/spreadsheetml/2006/main" id="10" name="Table42" displayName="Table42" ref="B362:F403" headerRowCount="1" totalsRowShown="0" headerRowDxfId="6" dataDxfId="5">
  <autoFilter ref="B362:F403"/>
  <tableColumns count="5">
    <tableColumn id="1" name="Date " dataDxfId="4"/>
    <tableColumn id="2" name="Item " dataDxfId="3"/>
    <tableColumn id="3" name="Sub category " dataDxfId="2"/>
    <tableColumn id="4" name="Cost " dataDxfId="1" dataCellStyle="Currency"/>
    <tableColumn id="5" name="Payment Method " dataDxfId="0"/>
  </tableColumns>
  <tableStyleInfo name="TableStyleLight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Relationship Type="http://schemas.openxmlformats.org/officeDocument/2006/relationships/table" Target="/xl/tables/table8.xml" Id="rId8"/><Relationship Type="http://schemas.openxmlformats.org/officeDocument/2006/relationships/table" Target="/xl/tables/table9.xml" Id="rId9"/><Relationship Type="http://schemas.openxmlformats.org/officeDocument/2006/relationships/table" Target="/xl/tables/table10.xml" Id="rId10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1"/>
  <sheetViews>
    <sheetView zoomScale="90" zoomScaleNormal="90" workbookViewId="0">
      <selection activeCell="D31" sqref="D31"/>
    </sheetView>
  </sheetViews>
  <sheetFormatPr baseColWidth="8" defaultColWidth="9.140625" defaultRowHeight="12"/>
  <cols>
    <col width="35" customWidth="1" style="183" min="1" max="1"/>
    <col width="13.85546875" customWidth="1" style="183" min="2" max="2"/>
    <col width="13.28515625" customWidth="1" style="183" min="3" max="3"/>
    <col width="14.85546875" customWidth="1" style="183" min="4" max="4"/>
    <col width="14.140625" customWidth="1" style="183" min="5" max="5"/>
    <col width="25.140625" customWidth="1" style="183" min="6" max="6"/>
    <col width="16.140625" customWidth="1" style="183" min="7" max="7"/>
    <col width="37" customWidth="1" style="183" min="8" max="8"/>
    <col width="15.28515625" customWidth="1" style="183" min="9" max="9"/>
    <col width="21.28515625" customWidth="1" style="183" min="10" max="10"/>
    <col width="19.5703125" customWidth="1" style="183" min="11" max="11"/>
    <col width="9.140625" customWidth="1" style="183" min="12" max="16384"/>
  </cols>
  <sheetData>
    <row r="1" ht="21" customHeight="1">
      <c r="A1" s="328" t="inlineStr">
        <is>
          <t xml:space="preserve">Living Budget 2025 </t>
        </is>
      </c>
    </row>
    <row r="2">
      <c r="A2" s="290" t="inlineStr">
        <is>
          <t xml:space="preserve">Properties </t>
        </is>
      </c>
      <c r="B2" s="290" t="n"/>
      <c r="C2" s="290" t="n"/>
      <c r="D2" s="290" t="n"/>
      <c r="E2" s="290" t="n"/>
      <c r="F2" s="290" t="n"/>
      <c r="G2" s="290" t="n"/>
      <c r="H2" s="290" t="n"/>
    </row>
    <row r="3">
      <c r="A3" s="298" t="inlineStr">
        <is>
          <t xml:space="preserve">100 Test Street, Test Suburb </t>
        </is>
      </c>
      <c r="B3" s="298" t="n"/>
      <c r="C3" s="298" t="n"/>
      <c r="D3" s="298" t="n"/>
      <c r="E3" s="298" t="n"/>
      <c r="F3" s="298" t="n"/>
      <c r="G3" s="298" t="n"/>
      <c r="H3" s="298" t="n"/>
    </row>
    <row r="4">
      <c r="A4" s="299" t="inlineStr">
        <is>
          <t xml:space="preserve">Items </t>
        </is>
      </c>
      <c r="B4" s="298" t="inlineStr">
        <is>
          <t xml:space="preserve">Cost </t>
        </is>
      </c>
      <c r="C4" s="298" t="inlineStr">
        <is>
          <t xml:space="preserve">Frequency </t>
        </is>
      </c>
      <c r="D4" s="298" t="inlineStr">
        <is>
          <t xml:space="preserve">Responsibility </t>
        </is>
      </c>
      <c r="E4" s="298" t="inlineStr">
        <is>
          <t xml:space="preserve">Monthly Cost </t>
        </is>
      </c>
      <c r="F4" s="332" t="inlineStr">
        <is>
          <t xml:space="preserve">TC, TC &amp; TS Expenses </t>
        </is>
      </c>
      <c r="G4" s="307" t="inlineStr">
        <is>
          <t xml:space="preserve">Income </t>
        </is>
      </c>
      <c r="H4" s="298" t="inlineStr">
        <is>
          <t xml:space="preserve">Payment Method </t>
        </is>
      </c>
    </row>
    <row r="5" ht="16.9" customHeight="1">
      <c r="A5" s="293" t="inlineStr">
        <is>
          <t xml:space="preserve">Mortgage Repayments </t>
        </is>
      </c>
      <c r="B5" s="333" t="n">
        <v>2069.28</v>
      </c>
      <c r="C5" s="294" t="inlineStr">
        <is>
          <t xml:space="preserve">Monthly </t>
        </is>
      </c>
      <c r="D5" s="294" t="inlineStr">
        <is>
          <t xml:space="preserve">Test </t>
        </is>
      </c>
      <c r="E5" s="291">
        <f>IF(LOWER(TRIM(C5))="daily",B5*30,IF(LOWER(TRIM(C5))="weekly",B5*4.33,IF(LOWER(TRIM(C5))="fortnightly",B5*2.17,IF(LOWER(TRIM(C5))="monthly",B5,IF(LOWER(TRIM(C5))="quarterly",B5/3,IF(LOWER(TRIM(C5))="bi-annual",B5/6,IF(LOWER(TRIM(C5))="annually",B5/12,0)))))))</f>
        <v/>
      </c>
      <c r="F5" s="291" t="n"/>
      <c r="G5" s="291" t="n"/>
      <c r="H5" s="294" t="inlineStr">
        <is>
          <t xml:space="preserve">NAB Offset XXXX </t>
        </is>
      </c>
    </row>
    <row r="6">
      <c r="A6" s="295" t="inlineStr">
        <is>
          <t xml:space="preserve">Rent </t>
        </is>
      </c>
      <c r="B6" s="296" t="n">
        <v>1480</v>
      </c>
      <c r="C6" s="297" t="inlineStr">
        <is>
          <t xml:space="preserve">Monthly </t>
        </is>
      </c>
      <c r="D6" s="297" t="inlineStr">
        <is>
          <t xml:space="preserve">Test &amp; Test Spouse </t>
        </is>
      </c>
      <c r="E6" s="291">
        <f>IF(LOWER(TRIM(C6))="daily",B6*30,IF(LOWER(TRIM(C6))="weekly",B6*4.33,IF(LOWER(TRIM(C6))="fortnightly",B6*2.17,IF(LOWER(TRIM(C6))="monthly",B6,IF(LOWER(TRIM(C6))="quarterly",B6/3,IF(LOWER(TRIM(C6))="bi-annual",B6/6,IF(LOWER(TRIM(C6))="annually",B6/12,0)))))))</f>
        <v/>
      </c>
      <c r="F6" s="291" t="n"/>
      <c r="G6" s="291" t="n"/>
      <c r="H6" s="297" t="inlineStr">
        <is>
          <t>Cash - Withdrawn from NAB Offset XXXX</t>
        </is>
      </c>
    </row>
    <row r="7">
      <c r="A7" s="293" t="inlineStr">
        <is>
          <t xml:space="preserve">Council Rates </t>
        </is>
      </c>
      <c r="B7" s="333" t="n">
        <v>1176</v>
      </c>
      <c r="C7" s="294" t="inlineStr">
        <is>
          <t>Quarterly</t>
        </is>
      </c>
      <c r="D7" s="294" t="inlineStr">
        <is>
          <t>Test</t>
        </is>
      </c>
      <c r="E7" s="327">
        <f>IF(LOWER(TRIM(C7))="daily",B7*30,IF(LOWER(TRIM(C7))="weekly",B7*4.33,IF(LOWER(TRIM(C7))="fortnightly",B7*2.17,IF(LOWER(TRIM(C7))="monthly",B7,IF(LOWER(TRIM(C7))="quarterly",B7/3,IF(LOWER(TRIM(C7))="bi-annual",B7/6,IF(LOWER(TRIM(C7))="annually",B7/12,0)))))))/3</f>
        <v/>
      </c>
      <c r="F7" s="291" t="n"/>
      <c r="G7" s="291" t="n"/>
      <c r="H7" s="294" t="inlineStr">
        <is>
          <t>NAB Credit Card XXXX</t>
        </is>
      </c>
    </row>
    <row r="8">
      <c r="A8" s="295" t="inlineStr">
        <is>
          <t xml:space="preserve">Home &amp; Contents Insurance </t>
        </is>
      </c>
      <c r="B8" s="296" t="n">
        <v>1982.33</v>
      </c>
      <c r="C8" s="297" t="inlineStr">
        <is>
          <t xml:space="preserve">Annually </t>
        </is>
      </c>
      <c r="D8" s="297" t="inlineStr">
        <is>
          <t xml:space="preserve">Test </t>
        </is>
      </c>
      <c r="E8" s="291">
        <f>IF(LOWER(TRIM(C8))="daily",B8*30,IF(LOWER(TRIM(C8))="weekly",B8*4.33,IF(LOWER(TRIM(C8))="fortnightly",B8*2.17,IF(LOWER(TRIM(C8))="monthly",B8,IF(LOWER(TRIM(C8))="quarterly",B8/3,IF(LOWER(TRIM(C8))="bi-annual",B8/6,IF(LOWER(TRIM(C8))="annually",B8/12,0)))))))</f>
        <v/>
      </c>
      <c r="F8" s="291" t="n"/>
      <c r="G8" s="291" t="n"/>
      <c r="H8" s="297" t="inlineStr">
        <is>
          <t>NAB Credit Card XXXX</t>
        </is>
      </c>
    </row>
    <row r="9">
      <c r="A9" s="293" t="inlineStr">
        <is>
          <t xml:space="preserve">Service Provider One </t>
        </is>
      </c>
      <c r="B9" s="333" t="n">
        <v>200</v>
      </c>
      <c r="C9" s="294" t="inlineStr">
        <is>
          <t xml:space="preserve">Monthly </t>
        </is>
      </c>
      <c r="D9" s="294" t="inlineStr">
        <is>
          <t xml:space="preserve">Test &amp; Test Spouse </t>
        </is>
      </c>
      <c r="E9" s="291">
        <f>IF(LOWER(TRIM(C9))="daily",B9*30,IF(LOWER(TRIM(C9))="weekly",B9*4.33,IF(LOWER(TRIM(C9))="fortnightly",B9*2.17,IF(LOWER(TRIM(C9))="monthly",B9,IF(LOWER(TRIM(C9))="quarterly",B9/3,IF(LOWER(TRIM(C9))="bi-annual",B9/6,IF(LOWER(TRIM(C9))="annually",B9/12,0)))))))</f>
        <v/>
      </c>
      <c r="F9" s="291" t="n"/>
      <c r="G9" s="291" t="n"/>
      <c r="H9" s="294" t="inlineStr">
        <is>
          <t>Cash - Withdrawn from NAB Offset XXXX</t>
        </is>
      </c>
    </row>
    <row r="10">
      <c r="A10" s="293" t="inlineStr">
        <is>
          <t xml:space="preserve">Repairs &amp; Maintanence </t>
        </is>
      </c>
      <c r="B10" s="333" t="n">
        <v>1500</v>
      </c>
      <c r="C10" s="294" t="inlineStr">
        <is>
          <t xml:space="preserve">Annually </t>
        </is>
      </c>
      <c r="D10" s="294" t="inlineStr">
        <is>
          <t xml:space="preserve">Test </t>
        </is>
      </c>
      <c r="E10" s="291">
        <f>IF(LOWER(TRIM(C10))="daily",B10*30,IF(LOWER(TRIM(C10))="weekly",B10*4.33,IF(LOWER(TRIM(C10))="fortnightly",B10*2.17,IF(LOWER(TRIM(C10))="monthly",B10,IF(LOWER(TRIM(C10))="quarterly",B10/3,IF(LOWER(TRIM(C10))="bi-annual",B10/6,IF(LOWER(TRIM(C10))="annually",B10/12,0)))))))</f>
        <v/>
      </c>
      <c r="F10" s="291" t="n"/>
      <c r="G10" s="291" t="n"/>
      <c r="H10" s="294" t="inlineStr">
        <is>
          <t>NAB Credit Card XXXX</t>
        </is>
      </c>
    </row>
    <row r="11">
      <c r="A11" s="293" t="n"/>
      <c r="B11" s="333" t="n"/>
      <c r="C11" s="294" t="n"/>
      <c r="D11" s="294" t="n"/>
      <c r="E11" s="291" t="n"/>
      <c r="F11" s="291">
        <f>SUM(E5:E10)</f>
        <v/>
      </c>
      <c r="G11" s="291" t="n"/>
      <c r="H11" s="294" t="n"/>
    </row>
    <row r="12">
      <c r="A12" s="298" t="inlineStr">
        <is>
          <t xml:space="preserve">200 Test Drive, Test Suburb </t>
        </is>
      </c>
      <c r="B12" s="298" t="n"/>
      <c r="C12" s="298" t="n"/>
      <c r="D12" s="298" t="n"/>
      <c r="E12" s="298" t="n"/>
      <c r="F12" s="298" t="n"/>
      <c r="G12" s="298" t="n"/>
      <c r="H12" s="298" t="n"/>
    </row>
    <row r="13">
      <c r="A13" s="293" t="inlineStr">
        <is>
          <t>Mortgage Repayments</t>
        </is>
      </c>
      <c r="B13" s="333" t="n">
        <v>4507</v>
      </c>
      <c r="C13" s="294" t="inlineStr">
        <is>
          <t xml:space="preserve">Monthly </t>
        </is>
      </c>
      <c r="D13" s="294" t="inlineStr">
        <is>
          <t xml:space="preserve">Test </t>
        </is>
      </c>
      <c r="E13" s="333">
        <f>IF(LOWER(TRIM(C13))="daily",B13*30,IF(LOWER(TRIM(C13))="weekly",B13*4.33,IF(LOWER(TRIM(C13))="fortnightly",B13*2.17,IF(LOWER(TRIM(C13))="monthly",B13,IF(LOWER(TRIM(C13))="quarterly",B13/3,IF(LOWER(TRIM(C13))="bi-annual",B13/6,IF(LOWER(TRIM(C13))="annually",B13/12,0)))))))</f>
        <v/>
      </c>
      <c r="F13" s="333" t="n"/>
      <c r="H13" s="294" t="inlineStr">
        <is>
          <t xml:space="preserve">CBA Combiz Account </t>
        </is>
      </c>
    </row>
    <row r="14">
      <c r="A14" s="293" t="n"/>
      <c r="B14" s="333" t="n"/>
      <c r="C14" s="294" t="n"/>
      <c r="D14" s="294" t="n"/>
      <c r="E14" s="333" t="n"/>
      <c r="F14" s="333">
        <f>E13</f>
        <v/>
      </c>
      <c r="G14" s="333" t="n">
        <v>4507</v>
      </c>
      <c r="H14" s="294" t="n"/>
    </row>
    <row r="15">
      <c r="A15" s="293" t="n"/>
      <c r="B15" s="333" t="n"/>
      <c r="C15" s="294" t="n"/>
      <c r="D15" s="294" t="n"/>
      <c r="E15" s="294" t="n"/>
      <c r="F15" s="294" t="n"/>
      <c r="G15" s="294" t="n"/>
      <c r="H15" s="294" t="n"/>
    </row>
    <row r="16">
      <c r="A16" s="289" t="inlineStr">
        <is>
          <t xml:space="preserve">Automotive Expenses </t>
        </is>
      </c>
      <c r="B16" s="283" t="n"/>
      <c r="C16" s="283" t="n"/>
      <c r="D16" s="283" t="n"/>
      <c r="E16" s="283" t="n"/>
      <c r="F16" s="283" t="n"/>
      <c r="G16" s="283" t="n"/>
      <c r="H16" s="283" t="n"/>
    </row>
    <row r="17">
      <c r="A17" s="298" t="inlineStr">
        <is>
          <t xml:space="preserve">Tesla Model Y (2023) </t>
        </is>
      </c>
      <c r="B17" s="298" t="n"/>
      <c r="C17" s="298" t="n"/>
      <c r="D17" s="298" t="n"/>
      <c r="E17" s="298" t="n"/>
      <c r="F17" s="298" t="n"/>
      <c r="G17" s="298" t="n"/>
      <c r="H17" s="298" t="n"/>
    </row>
    <row r="18">
      <c r="A18" s="295" t="inlineStr">
        <is>
          <t xml:space="preserve">Registration </t>
        </is>
      </c>
      <c r="B18" s="296" t="n">
        <v>830</v>
      </c>
      <c r="C18" s="297" t="inlineStr">
        <is>
          <t xml:space="preserve">Annually </t>
        </is>
      </c>
      <c r="D18" s="297" t="inlineStr">
        <is>
          <t>Test</t>
        </is>
      </c>
      <c r="E18" s="333">
        <f>IF(LOWER(TRIM(C18))="daily",B18*30,IF(LOWER(TRIM(C18))="weekly",B18*4.33,IF(LOWER(TRIM(C18))="fortnightly",B18*2.17,IF(LOWER(TRIM(C18))="monthly",B18,IF(LOWER(TRIM(C18))="quarterly",B18/3,IF(LOWER(TRIM(C18))="bi-annual",B18/6,IF(LOWER(TRIM(C18))="annually",B18/12,0)))))))</f>
        <v/>
      </c>
      <c r="F18" s="333" t="n"/>
      <c r="G18" s="333" t="n"/>
      <c r="H18" s="297" t="inlineStr">
        <is>
          <t>NAB Credit Card XXXX</t>
        </is>
      </c>
    </row>
    <row r="19">
      <c r="A19" s="293" t="inlineStr">
        <is>
          <t xml:space="preserve">Budget Direct Insurance  </t>
        </is>
      </c>
      <c r="B19" s="333" t="n">
        <v>3452</v>
      </c>
      <c r="C19" s="297" t="inlineStr">
        <is>
          <t xml:space="preserve">Annually </t>
        </is>
      </c>
      <c r="D19" s="294" t="inlineStr">
        <is>
          <t>Test</t>
        </is>
      </c>
      <c r="E19" s="333">
        <f>IF(LOWER(TRIM(C19))="daily",B19*30,IF(LOWER(TRIM(C19))="weekly",B19*4.33,IF(LOWER(TRIM(C19))="fortnightly",B19*2.17,IF(LOWER(TRIM(C19))="monthly",B19,IF(LOWER(TRIM(C19))="quarterly",B19/3,IF(LOWER(TRIM(C19))="bi-annual",B19/6,IF(LOWER(TRIM(C19))="annually",B19/12,0)))))))</f>
        <v/>
      </c>
      <c r="F19" s="333" t="n"/>
      <c r="G19" s="333" t="n"/>
      <c r="H19" s="294" t="inlineStr">
        <is>
          <t>NAB Credit Card XXXX</t>
        </is>
      </c>
    </row>
    <row r="20">
      <c r="A20" s="295" t="inlineStr">
        <is>
          <t xml:space="preserve">Macquarie Loan Repayments </t>
        </is>
      </c>
      <c r="B20" s="296" t="n">
        <v>1464.38</v>
      </c>
      <c r="C20" s="297" t="inlineStr">
        <is>
          <t xml:space="preserve">Monthly </t>
        </is>
      </c>
      <c r="D20" s="297" t="inlineStr">
        <is>
          <t>Test</t>
        </is>
      </c>
      <c r="E20" s="333">
        <f>IF(LOWER(TRIM(C20))="daily",B20*30,IF(LOWER(TRIM(C20))="weekly",B20*4.33,IF(LOWER(TRIM(C20))="fortnightly",B20*2.17,IF(LOWER(TRIM(C20))="monthly",B20,IF(LOWER(TRIM(C20))="quarterly",B20/3,IF(LOWER(TRIM(C20))="bi-annual",B20/6,IF(LOWER(TRIM(C20))="annually",B20/12,0)))))))</f>
        <v/>
      </c>
      <c r="H20" s="297" t="inlineStr">
        <is>
          <t xml:space="preserve">Macquarie Savings Account </t>
        </is>
      </c>
    </row>
    <row r="21">
      <c r="A21" s="293" t="inlineStr">
        <is>
          <t xml:space="preserve">Macquarie Loan Interest </t>
        </is>
      </c>
      <c r="B21" s="333" t="n">
        <v>300</v>
      </c>
      <c r="C21" s="294" t="inlineStr">
        <is>
          <t xml:space="preserve">Monthly </t>
        </is>
      </c>
      <c r="D21" s="294" t="inlineStr">
        <is>
          <t>Test</t>
        </is>
      </c>
      <c r="E21" s="333">
        <f>IF(LOWER(TRIM(C21))="daily",B21*30,IF(LOWER(TRIM(C21))="weekly",B21*4.33,IF(LOWER(TRIM(C21))="fortnightly",B21*2.17,IF(LOWER(TRIM(C21))="monthly",B21,IF(LOWER(TRIM(C21))="quarterly",B21/3,IF(LOWER(TRIM(C21))="bi-annual",B21/6,IF(LOWER(TRIM(C21))="annually",B21/12,0)))))))</f>
        <v/>
      </c>
      <c r="F21" s="333" t="n"/>
      <c r="G21" s="333" t="n"/>
      <c r="H21" s="294" t="inlineStr">
        <is>
          <t xml:space="preserve">Macquarie Savings Account </t>
        </is>
      </c>
    </row>
    <row r="22">
      <c r="A22" s="295" t="inlineStr">
        <is>
          <t xml:space="preserve">Car Washing / Cleaning </t>
        </is>
      </c>
      <c r="B22" s="296" t="n">
        <v>500</v>
      </c>
      <c r="C22" s="297" t="inlineStr">
        <is>
          <t xml:space="preserve">Annually </t>
        </is>
      </c>
      <c r="D22" s="297" t="inlineStr">
        <is>
          <t>Test</t>
        </is>
      </c>
      <c r="E22" s="333">
        <f>IF(LOWER(TRIM(C22))="daily",B22*30,IF(LOWER(TRIM(C22))="weekly",B22*4.33,IF(LOWER(TRIM(C22))="fortnightly",B22*2.17,IF(LOWER(TRIM(C22))="monthly",B22,IF(LOWER(TRIM(C22))="quarterly",B22/3,IF(LOWER(TRIM(C22))="bi-annual",B22/6,IF(LOWER(TRIM(C22))="annually",B22/12,0)))))))</f>
        <v/>
      </c>
      <c r="F22" s="333" t="n"/>
      <c r="G22" s="333" t="n"/>
      <c r="H22" s="297" t="inlineStr">
        <is>
          <t>NAB Credit Card XXXX</t>
        </is>
      </c>
    </row>
    <row r="23">
      <c r="A23" s="293" t="inlineStr">
        <is>
          <t xml:space="preserve">General Parking </t>
        </is>
      </c>
      <c r="B23" s="333" t="n">
        <v>100</v>
      </c>
      <c r="C23" s="297" t="inlineStr">
        <is>
          <t xml:space="preserve">Annually </t>
        </is>
      </c>
      <c r="D23" s="294" t="inlineStr">
        <is>
          <t>Test</t>
        </is>
      </c>
      <c r="E23" s="333">
        <f>IF(LOWER(TRIM(C23))="daily",B23*30,IF(LOWER(TRIM(C23))="weekly",B23*4.33,IF(LOWER(TRIM(C23))="fortnightly",B23*2.17,IF(LOWER(TRIM(C23))="monthly",B23,IF(LOWER(TRIM(C23))="quarterly",B23/3,IF(LOWER(TRIM(C23))="bi-annual",B23/6,IF(LOWER(TRIM(C23))="annually",B23/12,0)))))))</f>
        <v/>
      </c>
      <c r="F23" s="333" t="n"/>
      <c r="G23" s="333" t="n"/>
      <c r="H23" s="294" t="inlineStr">
        <is>
          <t>NAB Credit Card XXXX</t>
        </is>
      </c>
    </row>
    <row r="24">
      <c r="A24" s="354" t="inlineStr">
        <is>
          <t xml:space="preserve">Tolls </t>
        </is>
      </c>
      <c r="B24" s="355" t="n"/>
      <c r="C24" s="356" t="n"/>
      <c r="D24" s="357" t="n"/>
      <c r="E24" s="355" t="n"/>
      <c r="F24" s="355">
        <f>SUM(E18:E23)</f>
        <v/>
      </c>
      <c r="G24" s="355" t="n"/>
      <c r="H24" s="357" t="n"/>
    </row>
    <row r="25">
      <c r="A25" s="298" t="inlineStr">
        <is>
          <t xml:space="preserve">Toyota Yarris (2018) </t>
        </is>
      </c>
      <c r="B25" s="298" t="n"/>
      <c r="C25" s="298" t="n"/>
      <c r="D25" s="298" t="n"/>
      <c r="E25" s="298" t="n"/>
      <c r="F25" s="333" t="n"/>
      <c r="G25" s="333" t="n"/>
      <c r="H25" s="298" t="n"/>
    </row>
    <row r="26">
      <c r="A26" s="293" t="inlineStr">
        <is>
          <t xml:space="preserve">Fuel </t>
        </is>
      </c>
      <c r="B26" s="333" t="n">
        <v>70</v>
      </c>
      <c r="C26" s="294" t="inlineStr">
        <is>
          <t xml:space="preserve">Weekly </t>
        </is>
      </c>
      <c r="D26" s="294" t="inlineStr">
        <is>
          <t xml:space="preserve">Test Spouse </t>
        </is>
      </c>
      <c r="E26" s="333">
        <f>IF(LOWER(TRIM(C26))="daily",B26*30,IF(LOWER(TRIM(C26))="weekly",B26*4.33,IF(LOWER(TRIM(C26))="fortnightly",B26*2.17,IF(LOWER(TRIM(C26))="monthly",B26,IF(LOWER(TRIM(C26))="quarterly",B26/3,IF(LOWER(TRIM(C26))="bi-annual",B26/6,IF(LOWER(TRIM(C26))="annually",B26/12,0)))))))</f>
        <v/>
      </c>
      <c r="F26" s="333" t="n"/>
      <c r="G26" s="333" t="n"/>
      <c r="H26" s="294" t="inlineStr">
        <is>
          <t xml:space="preserve">Westpac Savings Test Spouse </t>
        </is>
      </c>
    </row>
    <row r="27">
      <c r="A27" s="295" t="inlineStr">
        <is>
          <t xml:space="preserve">AMMI Insurance </t>
        </is>
      </c>
      <c r="B27" s="296" t="n">
        <v>1187</v>
      </c>
      <c r="C27" s="297" t="inlineStr">
        <is>
          <t xml:space="preserve">Annually </t>
        </is>
      </c>
      <c r="D27" s="297" t="inlineStr">
        <is>
          <t xml:space="preserve">Test Spouse </t>
        </is>
      </c>
      <c r="E27" s="333">
        <f>IF(LOWER(TRIM(C27))="daily",B27*30,IF(LOWER(TRIM(C27))="weekly",B27*4.33,IF(LOWER(TRIM(C27))="fortnightly",B27*2.17,IF(LOWER(TRIM(C27))="monthly",B27,IF(LOWER(TRIM(C27))="quarterly",B27/3,IF(LOWER(TRIM(C27))="bi-annual",B27/6,IF(LOWER(TRIM(C27))="annually",B27/12,0)))))))</f>
        <v/>
      </c>
      <c r="F27" s="333" t="n"/>
      <c r="G27" s="333" t="n"/>
      <c r="H27" s="297" t="inlineStr">
        <is>
          <t xml:space="preserve">NAB Credit Card </t>
        </is>
      </c>
    </row>
    <row r="28">
      <c r="A28" s="293" t="inlineStr">
        <is>
          <t xml:space="preserve">Repairs &amp; Maintaince </t>
        </is>
      </c>
      <c r="B28" s="333" t="n">
        <v>1000</v>
      </c>
      <c r="C28" s="297" t="inlineStr">
        <is>
          <t xml:space="preserve">Annually </t>
        </is>
      </c>
      <c r="D28" s="294" t="inlineStr">
        <is>
          <t xml:space="preserve">Test Spouse </t>
        </is>
      </c>
      <c r="E28" s="333">
        <f>IF(LOWER(TRIM(C28))="daily",B28*30,IF(LOWER(TRIM(C28))="weekly",B28*4.33,IF(LOWER(TRIM(C28))="fortnightly",B28*2.17,IF(LOWER(TRIM(C28))="monthly",B28,IF(LOWER(TRIM(C28))="quarterly",B28/3,IF(LOWER(TRIM(C28))="bi-annual",B28/6,IF(LOWER(TRIM(C28))="annually",B28/12,0)))))))</f>
        <v/>
      </c>
      <c r="F28" s="333" t="n"/>
      <c r="G28" s="333" t="n"/>
      <c r="H28" s="294" t="inlineStr">
        <is>
          <t xml:space="preserve">Westpac Savings Test Spouse </t>
        </is>
      </c>
    </row>
    <row r="29">
      <c r="A29" s="295" t="inlineStr">
        <is>
          <t xml:space="preserve">Registration </t>
        </is>
      </c>
      <c r="B29" s="296" t="n">
        <v>830.7</v>
      </c>
      <c r="C29" s="297" t="inlineStr">
        <is>
          <t xml:space="preserve">Annually </t>
        </is>
      </c>
      <c r="D29" s="297" t="inlineStr">
        <is>
          <t xml:space="preserve">Test Spouse </t>
        </is>
      </c>
      <c r="E29" s="333">
        <f>IF(LOWER(TRIM(C29))="daily",B29*30,IF(LOWER(TRIM(C29))="weekly",B29*4.33,IF(LOWER(TRIM(C29))="fortnightly",B29*2.17,IF(LOWER(TRIM(C29))="monthly",B29,IF(LOWER(TRIM(C29))="quarterly",B29/3,IF(LOWER(TRIM(C29))="bi-annual",B29/6,IF(LOWER(TRIM(C29))="annually",B29/12,0)))))))</f>
        <v/>
      </c>
      <c r="F29" s="333" t="n"/>
      <c r="G29" s="333" t="n"/>
      <c r="H29" s="297" t="inlineStr">
        <is>
          <t xml:space="preserve">Westpac Savings Test Spouse </t>
        </is>
      </c>
    </row>
    <row r="30">
      <c r="A30" s="295" t="n"/>
      <c r="B30" s="427" t="n"/>
      <c r="C30" s="297" t="n"/>
      <c r="D30" s="297" t="n"/>
      <c r="E30" s="333" t="n"/>
      <c r="F30" s="333" t="n"/>
      <c r="G30" s="333" t="n"/>
      <c r="H30" s="297" t="n"/>
    </row>
    <row r="31">
      <c r="A31" s="301" t="n"/>
      <c r="B31" s="301" t="n"/>
      <c r="C31" s="301" t="n"/>
      <c r="D31" s="301" t="n"/>
      <c r="E31" s="333" t="n"/>
      <c r="F31" s="333" t="n"/>
      <c r="G31" s="333" t="n"/>
      <c r="H31" s="301" t="n"/>
    </row>
    <row r="32">
      <c r="A32" s="298" t="inlineStr">
        <is>
          <t xml:space="preserve">Piaggio Fly (2008) </t>
        </is>
      </c>
      <c r="B32" s="298" t="n"/>
      <c r="C32" s="298" t="n"/>
      <c r="D32" s="298" t="n"/>
      <c r="E32" s="333" t="n"/>
      <c r="F32" s="333" t="n"/>
      <c r="G32" s="333" t="n"/>
      <c r="H32" s="298" t="n"/>
    </row>
    <row r="33">
      <c r="A33" s="293" t="inlineStr">
        <is>
          <t xml:space="preserve">Fuel </t>
        </is>
      </c>
      <c r="B33" s="333" t="n">
        <v>50</v>
      </c>
      <c r="C33" s="294" t="inlineStr">
        <is>
          <t xml:space="preserve">Monthly </t>
        </is>
      </c>
      <c r="D33" s="294" t="inlineStr">
        <is>
          <t xml:space="preserve">Test </t>
        </is>
      </c>
      <c r="E33" s="333">
        <f>IF(LOWER(TRIM(C33))="daily",B33*30,IF(LOWER(TRIM(C33))="weekly",B33*4.33,IF(LOWER(TRIM(C33))="fortnightly",B33*2.17,IF(LOWER(TRIM(C33))="monthly",B33,IF(LOWER(TRIM(C33))="quarterly",B33/3,IF(LOWER(TRIM(C33))="bi-annual",B33/6,IF(LOWER(TRIM(C33))="annually",B33/12,0)))))))</f>
        <v/>
      </c>
      <c r="F33" s="333" t="n"/>
      <c r="G33" s="333" t="n"/>
      <c r="H33" s="294" t="inlineStr">
        <is>
          <t>NAB Credit Card XXXX</t>
        </is>
      </c>
    </row>
    <row r="34">
      <c r="A34" s="295" t="inlineStr">
        <is>
          <t xml:space="preserve">Insurance </t>
        </is>
      </c>
      <c r="B34" s="296" t="n">
        <v>350</v>
      </c>
      <c r="C34" s="297" t="inlineStr">
        <is>
          <t xml:space="preserve">Annually </t>
        </is>
      </c>
      <c r="D34" s="297" t="inlineStr">
        <is>
          <t xml:space="preserve">Test </t>
        </is>
      </c>
      <c r="E34" s="333">
        <f>IF(LOWER(TRIM(C34))="daily",B34*30,IF(LOWER(TRIM(C34))="weekly",B34*4.33,IF(LOWER(TRIM(C34))="fortnightly",B34*2.17,IF(LOWER(TRIM(C34))="monthly",B34,IF(LOWER(TRIM(C34))="quarterly",B34/3,IF(LOWER(TRIM(C34))="bi-annual",B34/6,IF(LOWER(TRIM(C34))="annually",B34/12,0)))))))</f>
        <v/>
      </c>
      <c r="F34" s="333" t="n"/>
      <c r="G34" s="333" t="n"/>
      <c r="H34" s="297" t="inlineStr">
        <is>
          <t>NAB Credit Card XXXX</t>
        </is>
      </c>
    </row>
    <row r="35">
      <c r="A35" s="293" t="inlineStr">
        <is>
          <t xml:space="preserve">Servicing </t>
        </is>
      </c>
      <c r="B35" s="333" t="n">
        <v>250</v>
      </c>
      <c r="C35" s="297" t="inlineStr">
        <is>
          <t xml:space="preserve">Annually </t>
        </is>
      </c>
      <c r="D35" s="294" t="inlineStr">
        <is>
          <t xml:space="preserve">Test </t>
        </is>
      </c>
      <c r="E35" s="333">
        <f>IF(LOWER(TRIM(C35))="daily",B35*30,IF(LOWER(TRIM(C35))="weekly",B35*4.33,IF(LOWER(TRIM(C35))="fortnightly",B35*2.17,IF(LOWER(TRIM(C35))="monthly",B35,IF(LOWER(TRIM(C35))="quarterly",B35/3,IF(LOWER(TRIM(C35))="bi-annual",B35/6,IF(LOWER(TRIM(C35))="annually",B35/12,0)))))))</f>
        <v/>
      </c>
      <c r="F35" s="333" t="n"/>
      <c r="G35" s="333" t="n"/>
      <c r="H35" s="294" t="inlineStr">
        <is>
          <t>NAB Credit Card XXXX</t>
        </is>
      </c>
    </row>
    <row r="36">
      <c r="A36" s="295" t="inlineStr">
        <is>
          <t xml:space="preserve">Registration </t>
        </is>
      </c>
      <c r="B36" s="296" t="n">
        <v>450</v>
      </c>
      <c r="C36" s="297" t="inlineStr">
        <is>
          <t xml:space="preserve">Annually </t>
        </is>
      </c>
      <c r="D36" s="297" t="inlineStr">
        <is>
          <t xml:space="preserve">Test </t>
        </is>
      </c>
      <c r="E36" s="333">
        <f>IF(LOWER(TRIM(C36))="daily",B36*30,IF(LOWER(TRIM(C36))="weekly",B36*4.33,IF(LOWER(TRIM(C36))="fortnightly",B36*2.17,IF(LOWER(TRIM(C36))="monthly",B36,IF(LOWER(TRIM(C36))="quarterly",B36/3,IF(LOWER(TRIM(C36))="bi-annual",B36/6,IF(LOWER(TRIM(C36))="annually",B36/12,0)))))))</f>
        <v/>
      </c>
      <c r="F36" s="333" t="n"/>
      <c r="G36" s="333" t="n"/>
      <c r="H36" s="297" t="inlineStr">
        <is>
          <t>NAB Credit Card XXXX</t>
        </is>
      </c>
    </row>
    <row r="37">
      <c r="A37" s="295" t="n"/>
      <c r="B37" s="296" t="n"/>
      <c r="C37" s="297" t="n"/>
      <c r="D37" s="297" t="n"/>
      <c r="E37" s="333" t="n"/>
      <c r="F37" s="333">
        <f>SUM(E33:E36)</f>
        <v/>
      </c>
      <c r="G37" s="333" t="n"/>
      <c r="H37" s="297" t="n"/>
    </row>
    <row r="38">
      <c r="A38" s="301" t="n"/>
      <c r="B38" s="301" t="n"/>
      <c r="C38" s="301" t="n"/>
      <c r="D38" s="301" t="n"/>
      <c r="E38" s="333" t="n"/>
      <c r="F38" s="333" t="n"/>
      <c r="G38" s="333" t="n"/>
      <c r="H38" s="301" t="n"/>
    </row>
    <row r="39">
      <c r="A39" s="290" t="inlineStr">
        <is>
          <t xml:space="preserve">Food and Groceries </t>
        </is>
      </c>
      <c r="B39" s="290" t="n"/>
      <c r="C39" s="290" t="n"/>
      <c r="D39" s="290" t="n"/>
      <c r="E39" s="284" t="n"/>
      <c r="F39" s="284" t="n"/>
      <c r="G39" s="284" t="n"/>
      <c r="H39" s="290" t="n"/>
    </row>
    <row r="40">
      <c r="A40" s="293" t="inlineStr">
        <is>
          <t xml:space="preserve">Coles </t>
        </is>
      </c>
      <c r="B40" s="333" t="n">
        <v>125</v>
      </c>
      <c r="C40" s="294" t="inlineStr">
        <is>
          <t xml:space="preserve">Weekly </t>
        </is>
      </c>
      <c r="D40" s="294" t="inlineStr">
        <is>
          <t xml:space="preserve">Test &amp; Test Spouse </t>
        </is>
      </c>
      <c r="E40" s="333">
        <f>IF(LOWER(TRIM(C40))="daily",B40*30,IF(LOWER(TRIM(C40))="weekly",B40*4.33,IF(LOWER(TRIM(C40))="fortnightly",B40*2.17,IF(LOWER(TRIM(C40))="monthly",B40,IF(LOWER(TRIM(C40))="quarterly",B40/3,IF(LOWER(TRIM(C40))="bi-annual",B40/6,IF(LOWER(TRIM(C40))="annually",B40/12,0)))))))</f>
        <v/>
      </c>
      <c r="F40" s="333" t="n"/>
      <c r="G40" s="333" t="n"/>
      <c r="H40" s="294" t="inlineStr">
        <is>
          <t>NAB Credit Card XXXX</t>
        </is>
      </c>
      <c r="J40" s="279" t="n"/>
    </row>
    <row r="41">
      <c r="A41" s="295" t="inlineStr">
        <is>
          <t xml:space="preserve">Coles Delivery  </t>
        </is>
      </c>
      <c r="B41" s="296" t="n">
        <v>20</v>
      </c>
      <c r="C41" s="297" t="inlineStr">
        <is>
          <t xml:space="preserve">Monthly </t>
        </is>
      </c>
      <c r="D41" s="297" t="inlineStr">
        <is>
          <t xml:space="preserve">Test &amp; Test Spouse </t>
        </is>
      </c>
      <c r="E41" s="333">
        <f>IF(LOWER(TRIM(C41))="daily",B41*30,IF(LOWER(TRIM(C41))="weekly",B41*4.33,IF(LOWER(TRIM(C41))="fortnightly",B41*2.17,IF(LOWER(TRIM(C41))="monthly",B41,IF(LOWER(TRIM(C41))="quarterly",B41/3,IF(LOWER(TRIM(C41))="bi-annual",B41/6,IF(LOWER(TRIM(C41))="annually",B41/12,0)))))))</f>
        <v/>
      </c>
      <c r="F41" s="333" t="n"/>
      <c r="G41" s="333" t="n"/>
      <c r="H41" s="297" t="inlineStr">
        <is>
          <t>NAB Credit Card XXXX</t>
        </is>
      </c>
      <c r="J41" s="279" t="n"/>
    </row>
    <row r="42">
      <c r="A42" s="293" t="inlineStr">
        <is>
          <t xml:space="preserve">Butchercrowd </t>
        </is>
      </c>
      <c r="B42" s="333" t="n">
        <v>279</v>
      </c>
      <c r="C42" s="294" t="inlineStr">
        <is>
          <t>Fortnightly</t>
        </is>
      </c>
      <c r="D42" s="294" t="inlineStr">
        <is>
          <t xml:space="preserve">Test &amp; Test Spouse </t>
        </is>
      </c>
      <c r="E42" s="333">
        <f>IF(LOWER(TRIM(C42))="daily",B42*30,IF(LOWER(TRIM(C42))="weekly",B42*4.33,IF(LOWER(TRIM(C42))="fortnightly",B42*2.17,IF(LOWER(TRIM(C42))="monthly",B42,IF(LOWER(TRIM(C42))="quarterly",B42/3,IF(LOWER(TRIM(C42))="bi-annual",B42/6,IF(LOWER(TRIM(C42))="annually",B42/12,0)))))))</f>
        <v/>
      </c>
      <c r="F42" s="333" t="n"/>
      <c r="G42" s="333" t="n"/>
      <c r="H42" s="294" t="inlineStr">
        <is>
          <t>NAB Credit Card XXXX</t>
        </is>
      </c>
      <c r="J42" s="279" t="n"/>
    </row>
    <row r="43">
      <c r="A43" s="295" t="inlineStr">
        <is>
          <t xml:space="preserve">Other (Coffee ect)  </t>
        </is>
      </c>
      <c r="B43" s="296" t="n">
        <v>100</v>
      </c>
      <c r="C43" s="297" t="inlineStr">
        <is>
          <t xml:space="preserve">Weekly </t>
        </is>
      </c>
      <c r="D43" s="297" t="inlineStr">
        <is>
          <t xml:space="preserve">Test &amp; Test Spouse </t>
        </is>
      </c>
      <c r="E43" s="333">
        <f>IF(LOWER(TRIM(C43))="daily",B43*30,IF(LOWER(TRIM(C43))="weekly",B43*4.33,IF(LOWER(TRIM(C43))="fortnightly",B43*2.17,IF(LOWER(TRIM(C43))="monthly",B43,IF(LOWER(TRIM(C43))="quarterly",B43/3,IF(LOWER(TRIM(C43))="bi-annual",B43/6,IF(LOWER(TRIM(C43))="annually",B43/12,0)))))))</f>
        <v/>
      </c>
      <c r="F43" s="333" t="n"/>
      <c r="G43" s="333" t="n"/>
      <c r="H43" s="297" t="inlineStr">
        <is>
          <t>NAB Credit Card XXXX</t>
        </is>
      </c>
    </row>
    <row r="44">
      <c r="A44" s="295" t="n"/>
      <c r="B44" s="296" t="n"/>
      <c r="C44" s="297" t="n"/>
      <c r="D44" s="297" t="n"/>
      <c r="E44" s="333" t="n"/>
      <c r="F44" s="333">
        <f>SUM(E40:E43)</f>
        <v/>
      </c>
      <c r="G44" s="333" t="n"/>
      <c r="H44" s="297" t="n"/>
    </row>
    <row r="45">
      <c r="A45" s="295" t="n"/>
      <c r="B45" s="296" t="n"/>
      <c r="C45" s="297" t="n"/>
      <c r="D45" s="297" t="n"/>
      <c r="E45" s="333" t="n"/>
      <c r="F45" s="333" t="n"/>
      <c r="G45" s="333" t="n"/>
      <c r="H45" s="297" t="n"/>
    </row>
    <row r="46">
      <c r="A46" s="290" t="inlineStr">
        <is>
          <t xml:space="preserve">Utility Bills </t>
        </is>
      </c>
      <c r="B46" s="290" t="n"/>
      <c r="C46" s="290" t="n"/>
      <c r="D46" s="290" t="n"/>
      <c r="E46" s="284" t="n"/>
      <c r="F46" s="284" t="n"/>
      <c r="G46" s="284" t="n"/>
      <c r="H46" s="290" t="n"/>
    </row>
    <row r="47">
      <c r="A47" s="293" t="inlineStr">
        <is>
          <t xml:space="preserve">Water </t>
        </is>
      </c>
      <c r="B47" s="333" t="n">
        <v>400</v>
      </c>
      <c r="C47" s="294" t="inlineStr">
        <is>
          <t xml:space="preserve">Quarterly </t>
        </is>
      </c>
      <c r="D47" s="294" t="inlineStr">
        <is>
          <t xml:space="preserve">Test &amp; Test Spouse </t>
        </is>
      </c>
      <c r="E47" s="333">
        <f>IF(LOWER(TRIM(C47))="daily",B47*30,IF(LOWER(TRIM(C47))="weekly",B47*4.33,IF(LOWER(TRIM(C47))="fortnightly",B47*2.17,IF(LOWER(TRIM(C47))="monthly",B47,IF(LOWER(TRIM(C47))="quarterly",B47/3,IF(LOWER(TRIM(C47))="bi-annual",B47/6,IF(LOWER(TRIM(C47))="annually",B47/12,0)))))))</f>
        <v/>
      </c>
      <c r="F47" s="333" t="n"/>
      <c r="G47" s="333" t="n"/>
      <c r="H47" s="294" t="inlineStr">
        <is>
          <t xml:space="preserve">NAB Credit Card XXXX, Direct Debit </t>
        </is>
      </c>
      <c r="J47" s="279" t="n"/>
    </row>
    <row r="48">
      <c r="A48" s="295" t="inlineStr">
        <is>
          <t xml:space="preserve">Electricity </t>
        </is>
      </c>
      <c r="B48" s="296" t="n">
        <v>90</v>
      </c>
      <c r="C48" s="294" t="inlineStr">
        <is>
          <t>Fortnightly</t>
        </is>
      </c>
      <c r="D48" s="297" t="inlineStr">
        <is>
          <t xml:space="preserve">Test &amp; Test Spouse </t>
        </is>
      </c>
      <c r="E48" s="333">
        <f>IF(LOWER(TRIM(C48))="daily",B48*30,IF(LOWER(TRIM(C48))="weekly",B48*4.33,IF(LOWER(TRIM(C48))="fortnightly",B48*2.17,IF(LOWER(TRIM(C48))="monthly",B48,IF(LOWER(TRIM(C48))="quarterly",B48/3,IF(LOWER(TRIM(C48))="bi-annual",B48/6,IF(LOWER(TRIM(C48))="annually",B48/12,0)))))))</f>
        <v/>
      </c>
      <c r="F48" s="333" t="n"/>
      <c r="G48" s="333" t="n"/>
      <c r="H48" s="297" t="inlineStr">
        <is>
          <t xml:space="preserve">NAB Credit Card XXXX, Direct Debit </t>
        </is>
      </c>
      <c r="J48" s="279" t="n"/>
    </row>
    <row r="49">
      <c r="A49" s="293" t="inlineStr">
        <is>
          <t xml:space="preserve">Gas </t>
        </is>
      </c>
      <c r="B49" s="333" t="n">
        <v>45</v>
      </c>
      <c r="C49" s="294" t="inlineStr">
        <is>
          <t xml:space="preserve">Fortnightly </t>
        </is>
      </c>
      <c r="D49" s="294" t="inlineStr">
        <is>
          <t xml:space="preserve">Test &amp; Test Spouse </t>
        </is>
      </c>
      <c r="E49" s="333">
        <f>IF(LOWER(TRIM(C49))="daily",B49*30,IF(LOWER(TRIM(C49))="weekly",B49*4.33,IF(LOWER(TRIM(C49))="fortnightly",B49*2.17,IF(LOWER(TRIM(C49))="monthly",B49,IF(LOWER(TRIM(C49))="quarterly",B49/3,IF(LOWER(TRIM(C49))="bi-annual",B49/6,IF(LOWER(TRIM(C49))="annually",B49/12,0)))))))</f>
        <v/>
      </c>
      <c r="F49" s="333" t="n"/>
      <c r="G49" s="333" t="n"/>
      <c r="H49" s="294" t="inlineStr">
        <is>
          <t xml:space="preserve">NAB Credit Card XXXX, Direct Debit </t>
        </is>
      </c>
      <c r="J49" s="279" t="n"/>
    </row>
    <row r="50">
      <c r="A50" s="295" t="inlineStr">
        <is>
          <t xml:space="preserve">TPG Phone </t>
        </is>
      </c>
      <c r="B50" s="296" t="n">
        <v>35</v>
      </c>
      <c r="C50" s="297" t="inlineStr">
        <is>
          <t xml:space="preserve">Monthly </t>
        </is>
      </c>
      <c r="D50" s="297" t="inlineStr">
        <is>
          <t xml:space="preserve">Test &amp; Test Spouse </t>
        </is>
      </c>
      <c r="E50" s="333">
        <f>IF(LOWER(TRIM(C50))="daily",B50*30,IF(LOWER(TRIM(C50))="weekly",B50*4.33,IF(LOWER(TRIM(C50))="fortnightly",B50*2.17,IF(LOWER(TRIM(C50))="monthly",B50,IF(LOWER(TRIM(C50))="quarterly",B50/3,IF(LOWER(TRIM(C50))="bi-annual",B50/6,IF(LOWER(TRIM(C50))="annually",B50/12,0)))))))</f>
        <v/>
      </c>
      <c r="F50" s="333" t="n"/>
      <c r="G50" s="333" t="n"/>
      <c r="H50" s="297" t="inlineStr">
        <is>
          <t xml:space="preserve">NAB Credit Card XXXX, Direct Debit </t>
        </is>
      </c>
    </row>
    <row r="51">
      <c r="A51" s="293" t="inlineStr">
        <is>
          <t xml:space="preserve">Kogan Internet </t>
        </is>
      </c>
      <c r="B51" s="333" t="n">
        <v>83.90000000000001</v>
      </c>
      <c r="C51" s="294" t="inlineStr">
        <is>
          <t xml:space="preserve">Monthly </t>
        </is>
      </c>
      <c r="D51" s="294" t="inlineStr">
        <is>
          <t xml:space="preserve">Test &amp; Test Spouse </t>
        </is>
      </c>
      <c r="E51" s="333">
        <f>IF(LOWER(TRIM(C51))="daily",B51*30,IF(LOWER(TRIM(C51))="weekly",B51*4.33,IF(LOWER(TRIM(C51))="fortnightly",B51*2.17,IF(LOWER(TRIM(C51))="monthly",B51,IF(LOWER(TRIM(C51))="quarterly",B51/3,IF(LOWER(TRIM(C51))="bi-annual",B51/6,IF(LOWER(TRIM(C51))="annually",B51/12,0)))))))</f>
        <v/>
      </c>
      <c r="F51" s="333" t="n"/>
      <c r="G51" s="333" t="n"/>
      <c r="H51" s="294" t="inlineStr">
        <is>
          <t xml:space="preserve">NAB Credit Card XXXX, Direct Debit </t>
        </is>
      </c>
      <c r="J51" s="279" t="n"/>
    </row>
    <row r="52">
      <c r="A52" s="293" t="n"/>
      <c r="B52" s="333" t="n"/>
      <c r="C52" s="294" t="n"/>
      <c r="D52" s="294" t="n"/>
      <c r="E52" s="333" t="n"/>
      <c r="F52" s="333">
        <f>SUM(E47:E51)</f>
        <v/>
      </c>
      <c r="G52" s="333" t="n"/>
      <c r="H52" s="294" t="n"/>
      <c r="J52" s="279" t="n"/>
    </row>
    <row r="53">
      <c r="A53" s="293" t="n"/>
      <c r="B53" s="333" t="n"/>
      <c r="C53" s="294" t="n"/>
      <c r="D53" s="294" t="n"/>
      <c r="E53" s="333" t="n"/>
      <c r="F53" s="333" t="n"/>
      <c r="G53" s="333" t="n"/>
      <c r="H53" s="294" t="n"/>
      <c r="J53" s="279" t="n"/>
    </row>
    <row r="54">
      <c r="A54" s="289" t="inlineStr">
        <is>
          <t xml:space="preserve">Health </t>
        </is>
      </c>
      <c r="B54" s="284" t="n"/>
      <c r="C54" s="285" t="n"/>
      <c r="D54" s="285" t="n"/>
      <c r="E54" s="284" t="n"/>
      <c r="F54" s="284" t="n"/>
      <c r="G54" s="284" t="n"/>
      <c r="H54" s="285" t="n"/>
      <c r="J54" s="279" t="n"/>
    </row>
    <row r="55">
      <c r="A55" s="293" t="inlineStr">
        <is>
          <t xml:space="preserve">GP Doctor </t>
        </is>
      </c>
      <c r="B55" s="333" t="n">
        <v>100</v>
      </c>
      <c r="C55" s="294" t="inlineStr">
        <is>
          <t xml:space="preserve">Quarterly </t>
        </is>
      </c>
      <c r="D55" s="294" t="inlineStr">
        <is>
          <t xml:space="preserve">Test </t>
        </is>
      </c>
      <c r="E55" s="333">
        <f>IF(LOWER(TRIM(C55))="daily",B55*30,IF(LOWER(TRIM(C55))="weekly",B55*4.33,IF(LOWER(TRIM(C55))="fortnightly",B55*2.17,IF(LOWER(TRIM(C55))="monthly",B55,IF(LOWER(TRIM(C55))="quarterly",B55/3,IF(LOWER(TRIM(C55))="bi-annual",B55/6,IF(LOWER(TRIM(C55))="annually",B55/12,0)))))))</f>
        <v/>
      </c>
      <c r="F55" s="333" t="n"/>
      <c r="G55" s="333" t="n"/>
      <c r="H55" s="294" t="inlineStr">
        <is>
          <t xml:space="preserve">NAB Credit Card XXXX, One time payment </t>
        </is>
      </c>
    </row>
    <row r="56">
      <c r="A56" s="295" t="inlineStr">
        <is>
          <t xml:space="preserve">Medicine </t>
        </is>
      </c>
      <c r="B56" s="296" t="n">
        <v>200</v>
      </c>
      <c r="C56" s="297" t="inlineStr">
        <is>
          <t xml:space="preserve">Annually </t>
        </is>
      </c>
      <c r="D56" s="297" t="inlineStr">
        <is>
          <t xml:space="preserve">Test </t>
        </is>
      </c>
      <c r="E56" s="333">
        <f>IF(LOWER(TRIM(C56))="daily",B56*30,IF(LOWER(TRIM(C56))="weekly",B56*4.33,IF(LOWER(TRIM(C56))="fortnightly",B56*2.17,IF(LOWER(TRIM(C56))="monthly",B56,IF(LOWER(TRIM(C56))="quarterly",B56/3,IF(LOWER(TRIM(C56))="bi-annual",B56/6,IF(LOWER(TRIM(C56))="annually",B56/12,0)))))))</f>
        <v/>
      </c>
      <c r="F56" s="333" t="n"/>
      <c r="G56" s="333" t="n"/>
      <c r="H56" s="297" t="inlineStr">
        <is>
          <t xml:space="preserve">NAB Credit Card XXXX, One time payment </t>
        </is>
      </c>
    </row>
    <row r="57">
      <c r="A57" s="293" t="inlineStr">
        <is>
          <t xml:space="preserve">Dentist </t>
        </is>
      </c>
      <c r="B57" s="333" t="n">
        <v>150</v>
      </c>
      <c r="C57" s="294" t="inlineStr">
        <is>
          <t xml:space="preserve">Bi-Annual </t>
        </is>
      </c>
      <c r="D57" s="294" t="inlineStr">
        <is>
          <t xml:space="preserve">Test </t>
        </is>
      </c>
      <c r="E57" s="333">
        <f>IF(LOWER(TRIM(C57))="daily",B57*30,IF(LOWER(TRIM(C57))="weekly",B57*4.33,IF(LOWER(TRIM(C57))="fortnightly",B57*2.17,IF(LOWER(TRIM(C57))="monthly",B57,IF(LOWER(TRIM(C57))="quarterly",B57/3,IF(LOWER(TRIM(C57))="bi-annual",B57/6,IF(LOWER(TRIM(C57))="annually",B57/12,0)))))))</f>
        <v/>
      </c>
      <c r="F57" s="333" t="n"/>
      <c r="G57" s="333" t="n"/>
      <c r="H57" s="294" t="inlineStr">
        <is>
          <t xml:space="preserve">NAB Credit Card XXXX, One time payment </t>
        </is>
      </c>
    </row>
    <row r="58">
      <c r="A58" s="295" t="inlineStr">
        <is>
          <t xml:space="preserve">Physio / Myo </t>
        </is>
      </c>
      <c r="B58" s="296" t="n">
        <v>300</v>
      </c>
      <c r="C58" s="297" t="inlineStr">
        <is>
          <t xml:space="preserve">Annually </t>
        </is>
      </c>
      <c r="D58" s="297" t="inlineStr">
        <is>
          <t xml:space="preserve">Test </t>
        </is>
      </c>
      <c r="E58" s="333">
        <f>IF(LOWER(TRIM(C58))="daily",B58*30,IF(LOWER(TRIM(C58))="weekly",B58*4.33,IF(LOWER(TRIM(C58))="fortnightly",B58*2.17,IF(LOWER(TRIM(C58))="monthly",B58,IF(LOWER(TRIM(C58))="quarterly",B58/3,IF(LOWER(TRIM(C58))="bi-annual",B58/6,IF(LOWER(TRIM(C58))="annually",B58/12,0)))))))</f>
        <v/>
      </c>
      <c r="F58" s="333" t="n"/>
      <c r="G58" s="333" t="n"/>
      <c r="H58" s="297" t="inlineStr">
        <is>
          <t xml:space="preserve">NAB Credit Card XXXX, One time payment </t>
        </is>
      </c>
    </row>
    <row r="59">
      <c r="A59" s="293" t="inlineStr">
        <is>
          <t xml:space="preserve">Psycologist </t>
        </is>
      </c>
      <c r="B59" s="333" t="n">
        <v>150</v>
      </c>
      <c r="C59" s="294" t="inlineStr">
        <is>
          <t xml:space="preserve">Monthly </t>
        </is>
      </c>
      <c r="D59" s="294" t="inlineStr">
        <is>
          <t xml:space="preserve">Test </t>
        </is>
      </c>
      <c r="E59" s="333">
        <f>IF(LOWER(TRIM(C59))="daily",B59*30,IF(LOWER(TRIM(C59))="weekly",B59*4.33,IF(LOWER(TRIM(C59))="fortnightly",B59*2.17,IF(LOWER(TRIM(C59))="monthly",B59,IF(LOWER(TRIM(C59))="quarterly",B59/3,IF(LOWER(TRIM(C59))="bi-annual",B59/6,IF(LOWER(TRIM(C59))="annually",B59/12,0)))))))</f>
        <v/>
      </c>
      <c r="F59" s="333" t="n"/>
      <c r="G59" s="333" t="n"/>
      <c r="H59" s="294" t="inlineStr">
        <is>
          <t xml:space="preserve">NAB Credit Card XXXX, One time payment </t>
        </is>
      </c>
    </row>
    <row r="60">
      <c r="A60" s="302" t="inlineStr">
        <is>
          <t xml:space="preserve">Psycologist Test Spouse  </t>
        </is>
      </c>
      <c r="B60" s="303" t="n"/>
      <c r="C60" s="300" t="n"/>
      <c r="D60" s="297" t="inlineStr">
        <is>
          <t xml:space="preserve">Test Spouse </t>
        </is>
      </c>
      <c r="E60" s="333" t="n"/>
      <c r="F60" s="333" t="n"/>
      <c r="G60" s="333" t="n"/>
      <c r="H60" s="300" t="n"/>
    </row>
    <row r="61">
      <c r="A61" s="293" t="inlineStr">
        <is>
          <t xml:space="preserve">Suppliments </t>
        </is>
      </c>
      <c r="B61" s="333" t="n">
        <v>1000</v>
      </c>
      <c r="C61" s="294" t="inlineStr">
        <is>
          <t xml:space="preserve">Annually </t>
        </is>
      </c>
      <c r="D61" s="294" t="inlineStr">
        <is>
          <t xml:space="preserve">Test </t>
        </is>
      </c>
      <c r="E61" s="333">
        <f>IF(LOWER(TRIM(C61))="daily",B61*30,IF(LOWER(TRIM(C61))="weekly",B61*4.33,IF(LOWER(TRIM(C61))="fortnightly",B61*2.17,IF(LOWER(TRIM(C61))="monthly",B61,IF(LOWER(TRIM(C61))="quarterly",B61/3,IF(LOWER(TRIM(C61))="bi-annual",B61/6,IF(LOWER(TRIM(C61))="annually",B61/12,0)))))))</f>
        <v/>
      </c>
      <c r="F61" s="333" t="n"/>
      <c r="G61" s="333" t="n"/>
      <c r="H61" s="294" t="inlineStr">
        <is>
          <t xml:space="preserve">NAB Credit Card XXXX, One time payment </t>
        </is>
      </c>
    </row>
    <row r="62">
      <c r="A62" s="295" t="inlineStr">
        <is>
          <t xml:space="preserve">Ambulance Service </t>
        </is>
      </c>
      <c r="B62" s="296" t="n">
        <v>53.57</v>
      </c>
      <c r="C62" s="297" t="inlineStr">
        <is>
          <t xml:space="preserve">Annually </t>
        </is>
      </c>
      <c r="D62" s="297" t="inlineStr">
        <is>
          <t xml:space="preserve">Test </t>
        </is>
      </c>
      <c r="E62" s="333">
        <f>IF(LOWER(TRIM(C62))="daily",B62*30,IF(LOWER(TRIM(C62))="weekly",B62*4.33,IF(LOWER(TRIM(C62))="fortnightly",B62*2.17,IF(LOWER(TRIM(C62))="monthly",B62,IF(LOWER(TRIM(C62))="quarterly",B62/3,IF(LOWER(TRIM(C62))="bi-annual",B62/6,IF(LOWER(TRIM(C62))="annually",B62/12,0)))))))</f>
        <v/>
      </c>
      <c r="F62" s="333" t="n"/>
      <c r="G62" s="333" t="n"/>
      <c r="H62" s="297" t="inlineStr">
        <is>
          <t xml:space="preserve">ING Everyday </t>
        </is>
      </c>
    </row>
    <row r="63">
      <c r="A63" s="293" t="inlineStr">
        <is>
          <t>BUPA privatehealth</t>
        </is>
      </c>
      <c r="B63" s="333" t="n">
        <v>1882</v>
      </c>
      <c r="C63" s="294" t="inlineStr">
        <is>
          <t xml:space="preserve">Annually </t>
        </is>
      </c>
      <c r="D63" s="294" t="inlineStr">
        <is>
          <t xml:space="preserve">Test </t>
        </is>
      </c>
      <c r="E63" s="333">
        <f>IF(LOWER(TRIM(C63))="daily",B63*30,IF(LOWER(TRIM(C63))="weekly",B63*4.33,IF(LOWER(TRIM(C63))="fortnightly",B63*2.17,IF(LOWER(TRIM(C63))="monthly",B63,IF(LOWER(TRIM(C63))="quarterly",B63/3,IF(LOWER(TRIM(C63))="bi-annual",B63/6,IF(LOWER(TRIM(C63))="annually",B63/12,0)))))))</f>
        <v/>
      </c>
      <c r="F63" s="333" t="n"/>
      <c r="G63" s="333" t="n"/>
      <c r="H63" s="294" t="inlineStr">
        <is>
          <t xml:space="preserve">NAB Credit Card XXXX, One time payment </t>
        </is>
      </c>
    </row>
    <row r="64">
      <c r="A64" s="293" t="n"/>
      <c r="B64" s="428" t="n"/>
      <c r="C64" s="294" t="n"/>
      <c r="D64" s="294" t="n"/>
      <c r="E64" s="333" t="n"/>
      <c r="F64" s="333">
        <f>SUM(E55:E63)</f>
        <v/>
      </c>
      <c r="G64" s="333" t="n"/>
      <c r="H64" s="294" t="n"/>
    </row>
    <row r="65">
      <c r="A65" s="293" t="n"/>
      <c r="B65" s="428" t="n"/>
      <c r="C65" s="294" t="n"/>
      <c r="D65" s="294" t="n"/>
      <c r="E65" s="333" t="n"/>
      <c r="F65" s="333" t="n"/>
      <c r="G65" s="333" t="n"/>
      <c r="H65" s="294" t="n"/>
    </row>
    <row r="66">
      <c r="A66" s="290" t="inlineStr">
        <is>
          <t xml:space="preserve">Fitness &amp; Education </t>
        </is>
      </c>
      <c r="B66" s="290" t="n"/>
      <c r="C66" s="290" t="n"/>
      <c r="D66" s="290" t="n"/>
      <c r="E66" s="284" t="n"/>
      <c r="F66" s="284" t="n"/>
      <c r="G66" s="284" t="n"/>
      <c r="H66" s="290" t="n"/>
    </row>
    <row r="67">
      <c r="A67" s="293" t="inlineStr">
        <is>
          <t xml:space="preserve">Service Provider Two </t>
        </is>
      </c>
      <c r="B67" s="333" t="n">
        <v>100</v>
      </c>
      <c r="C67" s="294" t="inlineStr">
        <is>
          <t xml:space="preserve">Weekly </t>
        </is>
      </c>
      <c r="D67" s="294" t="inlineStr">
        <is>
          <t xml:space="preserve">Test </t>
        </is>
      </c>
      <c r="E67" s="333">
        <f>IF(LOWER(TRIM(C67))="daily",B67*30,IF(LOWER(TRIM(C67))="weekly",B67*4.33,IF(LOWER(TRIM(C67))="fortnightly",B67*2.17,IF(LOWER(TRIM(C67))="monthly",B67,IF(LOWER(TRIM(C67))="quarterly",B67/3,IF(LOWER(TRIM(C67))="bi-annual",B67/6,IF(LOWER(TRIM(C67))="annually",B67/12,0)))))))</f>
        <v/>
      </c>
      <c r="F67" s="333" t="n"/>
      <c r="G67" s="333" t="n"/>
      <c r="H67" s="294" t="inlineStr">
        <is>
          <t xml:space="preserve">NAB Credit Card XXXX, One time payment </t>
        </is>
      </c>
    </row>
    <row r="68">
      <c r="A68" s="295" t="inlineStr">
        <is>
          <t xml:space="preserve">Service Provider Three </t>
        </is>
      </c>
      <c r="B68" s="296" t="n">
        <v>65</v>
      </c>
      <c r="C68" s="297" t="inlineStr">
        <is>
          <t xml:space="preserve">Weekly </t>
        </is>
      </c>
      <c r="D68" s="297" t="inlineStr">
        <is>
          <t xml:space="preserve">Test </t>
        </is>
      </c>
      <c r="E68" s="333">
        <f>IF(LOWER(TRIM(C68))="daily",B68*30,IF(LOWER(TRIM(C68))="weekly",B68*4.33,IF(LOWER(TRIM(C68))="fortnightly",B68*2.17,IF(LOWER(TRIM(C68))="monthly",B68,IF(LOWER(TRIM(C68))="quarterly",B68/3,IF(LOWER(TRIM(C68))="bi-annual",B68/6,IF(LOWER(TRIM(C68))="annually",B68/12,0)))))))</f>
        <v/>
      </c>
      <c r="F68" s="333" t="n"/>
      <c r="G68" s="333" t="n"/>
      <c r="H68" s="297" t="inlineStr">
        <is>
          <t xml:space="preserve">NAB Offset </t>
        </is>
      </c>
    </row>
    <row r="69">
      <c r="A69" s="302" t="inlineStr">
        <is>
          <t xml:space="preserve">Pilates </t>
        </is>
      </c>
      <c r="B69" s="303" t="n"/>
      <c r="C69" s="300" t="n"/>
      <c r="D69" s="300" t="inlineStr">
        <is>
          <t xml:space="preserve">Test Spouse </t>
        </is>
      </c>
      <c r="E69" s="333">
        <f>IF(LOWER(TRIM(C69))="daily",B69*30,IF(LOWER(TRIM(C69))="weekly",B69*4.33,IF(LOWER(TRIM(C69))="fortnightly",B69*2.17,IF(LOWER(TRIM(C69))="monthly",B69,IF(LOWER(TRIM(C69))="quarterly",B69/3,IF(LOWER(TRIM(C69))="bi-annual",B69/6,IF(LOWER(TRIM(C69))="annually",B69/12,0)))))))</f>
        <v/>
      </c>
      <c r="H69" s="300" t="n"/>
    </row>
    <row r="70">
      <c r="A70" s="302" t="n"/>
      <c r="B70" s="303" t="n"/>
      <c r="C70" s="300" t="n"/>
      <c r="D70" s="300" t="n"/>
      <c r="E70" s="333" t="n"/>
      <c r="F70" s="333">
        <f>SUM(E67:E68)</f>
        <v/>
      </c>
      <c r="G70" s="333" t="n"/>
      <c r="H70" s="300" t="n"/>
    </row>
    <row r="71">
      <c r="A71" s="295" t="n"/>
      <c r="B71" s="296" t="n"/>
      <c r="C71" s="297" t="n"/>
      <c r="D71" s="300" t="n"/>
      <c r="E71" s="333" t="n"/>
      <c r="F71" s="333" t="n"/>
      <c r="G71" s="333" t="n"/>
      <c r="H71" s="297" t="n"/>
    </row>
    <row r="72">
      <c r="A72" s="289" t="inlineStr">
        <is>
          <t xml:space="preserve">Work - CBRE </t>
        </is>
      </c>
      <c r="B72" s="286" t="n"/>
      <c r="C72" s="287" t="n"/>
      <c r="D72" s="288" t="n"/>
      <c r="E72" s="284">
        <f>IF(LOWER(TRIM(C72))="daily",B72*30,IF(LOWER(TRIM(C72))="weekly",B72*4.33,IF(LOWER(TRIM(C72))="fortnightly",B72*2.17,IF(LOWER(TRIM(C72))="monthly",B72,IF(LOWER(TRIM(C72))="quarterly",B72/3,IF(LOWER(TRIM(C72))="bi-annual",B72/6,IF(LOWER(TRIM(C72))="annually",B72/12,0)))))))</f>
        <v/>
      </c>
      <c r="F72" s="284" t="n"/>
      <c r="G72" s="284" t="n"/>
      <c r="H72" s="287" t="n"/>
    </row>
    <row r="73">
      <c r="A73" s="293" t="inlineStr">
        <is>
          <t xml:space="preserve">General Parking </t>
        </is>
      </c>
      <c r="B73" s="333" t="n">
        <v>200</v>
      </c>
      <c r="C73" s="294" t="inlineStr">
        <is>
          <t xml:space="preserve">Monthly </t>
        </is>
      </c>
      <c r="D73" s="294" t="inlineStr">
        <is>
          <t xml:space="preserve">Test </t>
        </is>
      </c>
      <c r="E73" s="333">
        <f>IF(LOWER(TRIM(C73))="daily",B73*30,IF(LOWER(TRIM(C73))="weekly",B73*4.33,IF(LOWER(TRIM(C73))="fortnightly",B73*2.17,IF(LOWER(TRIM(C73))="monthly",B73,IF(LOWER(TRIM(C73))="quarterly",B73/3,IF(LOWER(TRIM(C73))="bi-annual",B73/6,IF(LOWER(TRIM(C73))="annually",B73/12,0)))))))</f>
        <v/>
      </c>
      <c r="F73" s="333" t="n"/>
      <c r="G73" s="333" t="n"/>
      <c r="H73" s="294" t="inlineStr">
        <is>
          <t xml:space="preserve">NAB Credit Card XXXX, Direct Debit </t>
        </is>
      </c>
    </row>
    <row r="74">
      <c r="A74" s="295" t="inlineStr">
        <is>
          <t xml:space="preserve">CBD Car Park </t>
        </is>
      </c>
      <c r="B74" s="296" t="n">
        <v>395</v>
      </c>
      <c r="C74" s="297" t="inlineStr">
        <is>
          <t xml:space="preserve">Monthly </t>
        </is>
      </c>
      <c r="D74" s="297" t="inlineStr">
        <is>
          <t xml:space="preserve">Test </t>
        </is>
      </c>
      <c r="E74" s="333">
        <f>IF(LOWER(TRIM(C74))="daily",B74*30,IF(LOWER(TRIM(C74))="weekly",B74*4.33,IF(LOWER(TRIM(C74))="fortnightly",B74*2.17,IF(LOWER(TRIM(C74))="monthly",B74,IF(LOWER(TRIM(C74))="quarterly",B74/3,IF(LOWER(TRIM(C74))="bi-annual",B74/6,IF(LOWER(TRIM(C74))="annually",B74/12,0)))))))</f>
        <v/>
      </c>
      <c r="F74" s="333" t="n"/>
      <c r="G74" s="333" t="n"/>
      <c r="H74" s="297" t="inlineStr">
        <is>
          <t xml:space="preserve">NAB Credit Card XXXX, Direct Debit </t>
        </is>
      </c>
    </row>
    <row r="75">
      <c r="A75" s="293" t="inlineStr">
        <is>
          <t xml:space="preserve">BLA Licence </t>
        </is>
      </c>
      <c r="B75" s="333" t="n">
        <v>244</v>
      </c>
      <c r="C75" s="294" t="inlineStr">
        <is>
          <t>Annually</t>
        </is>
      </c>
      <c r="D75" s="294" t="inlineStr">
        <is>
          <t xml:space="preserve">Test </t>
        </is>
      </c>
      <c r="E75" s="333">
        <f>IF(LOWER(TRIM(C75))="daily",B75*30,IF(LOWER(TRIM(C75))="weekly",B75*4.33,IF(LOWER(TRIM(C75))="fortnightly",B75*2.17,IF(LOWER(TRIM(C75))="monthly",B75,IF(LOWER(TRIM(C75))="quarterly",B75/3,IF(LOWER(TRIM(C75))="bi-annual",B75/6,IF(LOWER(TRIM(C75))="annually",B75/12,0)))))))</f>
        <v/>
      </c>
      <c r="F75" s="333" t="n"/>
      <c r="G75" s="333" t="n"/>
      <c r="H75" s="294" t="inlineStr">
        <is>
          <t xml:space="preserve">NAB Credit Card XXXX, Direct Debit </t>
        </is>
      </c>
    </row>
    <row r="76">
      <c r="A76" s="293" t="n"/>
      <c r="B76" s="333" t="n"/>
      <c r="C76" s="294" t="n"/>
      <c r="D76" s="294" t="n"/>
      <c r="E76" s="333" t="n"/>
      <c r="F76" s="333">
        <f>SUM(E73:E75)</f>
        <v/>
      </c>
      <c r="G76" s="333" t="n"/>
      <c r="H76" s="294" t="n"/>
    </row>
    <row r="77">
      <c r="E77" s="333" t="n"/>
      <c r="F77" s="333" t="n"/>
      <c r="G77" s="333" t="n"/>
    </row>
    <row r="78">
      <c r="A78" s="289" t="inlineStr">
        <is>
          <t xml:space="preserve">Personal Care &amp; Grooming </t>
        </is>
      </c>
      <c r="B78" s="289" t="n"/>
      <c r="C78" s="289" t="n"/>
      <c r="D78" s="289" t="n"/>
      <c r="E78" s="284" t="n"/>
      <c r="F78" s="284" t="n"/>
      <c r="G78" s="284" t="n"/>
      <c r="H78" s="289" t="n"/>
    </row>
    <row r="79">
      <c r="A79" s="293" t="inlineStr">
        <is>
          <t xml:space="preserve">Barber </t>
        </is>
      </c>
      <c r="B79" s="333" t="n">
        <v>55</v>
      </c>
      <c r="C79" s="294" t="inlineStr">
        <is>
          <t>Fortnightly</t>
        </is>
      </c>
      <c r="D79" s="294" t="inlineStr">
        <is>
          <t xml:space="preserve">Test </t>
        </is>
      </c>
      <c r="E79" s="333">
        <f>IF(LOWER(TRIM(C79))="daily",B79*30,IF(LOWER(TRIM(C79))="weekly",B79*4.33,IF(LOWER(TRIM(C79))="fortnightly",B79*2.17,IF(LOWER(TRIM(C79))="monthly",B79,IF(LOWER(TRIM(C79))="quarterly",B79/3,IF(LOWER(TRIM(C79))="bi-annual",B79/6,IF(LOWER(TRIM(C79))="annually",B79/12,0)))))))</f>
        <v/>
      </c>
      <c r="F79" s="333" t="n"/>
      <c r="G79" s="333" t="n"/>
      <c r="H79" s="294" t="inlineStr">
        <is>
          <t xml:space="preserve">NAB Credit Card XXXX, One time payment  </t>
        </is>
      </c>
    </row>
    <row r="80">
      <c r="A80" s="295" t="n"/>
      <c r="B80" s="296" t="n"/>
      <c r="C80" s="297" t="n"/>
      <c r="D80" s="297" t="n"/>
      <c r="E80" s="333" t="n"/>
      <c r="F80" s="333" t="n"/>
      <c r="G80" s="333" t="n"/>
      <c r="H80" s="297" t="n"/>
    </row>
    <row r="81">
      <c r="A81" s="295" t="n"/>
      <c r="B81" s="296" t="n"/>
      <c r="C81" s="297" t="n"/>
      <c r="D81" s="297" t="n"/>
      <c r="E81" s="333" t="n"/>
      <c r="F81" s="333">
        <f>SUM(E79:E81)</f>
        <v/>
      </c>
      <c r="G81" s="333" t="n"/>
      <c r="H81" s="297" t="n"/>
    </row>
    <row r="82">
      <c r="A82" s="295" t="n"/>
      <c r="B82" s="296" t="n"/>
      <c r="C82" s="297" t="n"/>
      <c r="D82" s="297" t="n"/>
      <c r="E82" s="333" t="n"/>
      <c r="F82" s="333" t="n"/>
      <c r="G82" s="333" t="n"/>
      <c r="H82" s="297" t="n"/>
    </row>
    <row r="83">
      <c r="A83" s="290" t="inlineStr">
        <is>
          <t xml:space="preserve">Subscriptions </t>
        </is>
      </c>
      <c r="B83" s="286" t="n"/>
      <c r="C83" s="287" t="n"/>
      <c r="D83" s="287" t="n"/>
      <c r="E83" s="284" t="n"/>
      <c r="F83" s="284" t="n"/>
      <c r="G83" s="284" t="n"/>
      <c r="H83" s="287" t="n"/>
    </row>
    <row r="84">
      <c r="A84" s="293" t="inlineStr">
        <is>
          <t xml:space="preserve">MCC AFL Membership </t>
        </is>
      </c>
      <c r="B84" s="333" t="n">
        <v>400</v>
      </c>
      <c r="C84" s="294" t="inlineStr">
        <is>
          <t xml:space="preserve">Annually </t>
        </is>
      </c>
      <c r="D84" s="294" t="inlineStr">
        <is>
          <t xml:space="preserve">Test </t>
        </is>
      </c>
      <c r="E84" s="333">
        <f>IF(LOWER(TRIM(C84))="daily",B84*30,IF(LOWER(TRIM(C84))="weekly",B84*4.33,IF(LOWER(TRIM(C84))="fortnightly",B84*2.17,IF(LOWER(TRIM(C84))="monthly",B84,IF(LOWER(TRIM(C84))="quarterly",B84/3,IF(LOWER(TRIM(C84))="bi-annual",B84/6,IF(LOWER(TRIM(C84))="annually",B84/12,0)))))))</f>
        <v/>
      </c>
      <c r="F84" s="333" t="n"/>
      <c r="G84" s="333" t="n"/>
      <c r="H84" s="294" t="inlineStr">
        <is>
          <t xml:space="preserve">NAB Credit Card XXXX, One time payment  </t>
        </is>
      </c>
    </row>
    <row r="85">
      <c r="A85" s="295" t="inlineStr">
        <is>
          <t xml:space="preserve">Apple Music </t>
        </is>
      </c>
      <c r="B85" s="296" t="n">
        <v>12.99</v>
      </c>
      <c r="C85" s="297" t="inlineStr">
        <is>
          <t xml:space="preserve">Monthly </t>
        </is>
      </c>
      <c r="D85" s="297" t="inlineStr">
        <is>
          <t xml:space="preserve">Test </t>
        </is>
      </c>
      <c r="E85" s="333">
        <f>IF(LOWER(TRIM(C85))="daily",B85*30,IF(LOWER(TRIM(C85))="weekly",B85*4.33,IF(LOWER(TRIM(C85))="fortnightly",B85*2.17,IF(LOWER(TRIM(C85))="monthly",B85,IF(LOWER(TRIM(C85))="quarterly",B85/3,IF(LOWER(TRIM(C85))="bi-annual",B85/6,IF(LOWER(TRIM(C85))="annually",B85/12,0)))))))</f>
        <v/>
      </c>
      <c r="F85" s="333" t="n"/>
      <c r="G85" s="333" t="n"/>
      <c r="H85" s="294" t="inlineStr">
        <is>
          <t xml:space="preserve">NAB Credit Card XXXX, Direct Debit </t>
        </is>
      </c>
    </row>
    <row r="86">
      <c r="A86" s="293" t="inlineStr">
        <is>
          <t xml:space="preserve">Arlo Sercurity </t>
        </is>
      </c>
      <c r="B86" s="333" t="n">
        <v>14.99</v>
      </c>
      <c r="C86" s="294" t="inlineStr">
        <is>
          <t xml:space="preserve">Monthly </t>
        </is>
      </c>
      <c r="D86" s="294" t="inlineStr">
        <is>
          <t xml:space="preserve">Test &amp; Test Spouse </t>
        </is>
      </c>
      <c r="E86" s="333">
        <f>IF(LOWER(TRIM(C86))="daily",B86*30,IF(LOWER(TRIM(C86))="weekly",B86*4.33,IF(LOWER(TRIM(C86))="fortnightly",B86*2.17,IF(LOWER(TRIM(C86))="monthly",B86,IF(LOWER(TRIM(C86))="quarterly",B86/3,IF(LOWER(TRIM(C86))="bi-annual",B86/6,IF(LOWER(TRIM(C86))="annually",B86/12,0)))))))</f>
        <v/>
      </c>
      <c r="F86" s="333" t="n"/>
      <c r="G86" s="333" t="n"/>
      <c r="H86" s="294" t="inlineStr">
        <is>
          <t xml:space="preserve">NAB Credit Card XXXX, Direct Debit </t>
        </is>
      </c>
    </row>
    <row r="87">
      <c r="A87" s="295" t="inlineStr">
        <is>
          <t xml:space="preserve">Chat GPT premium  </t>
        </is>
      </c>
      <c r="B87" s="296" t="n">
        <v>29.99</v>
      </c>
      <c r="C87" s="297" t="inlineStr">
        <is>
          <t xml:space="preserve">Monthly </t>
        </is>
      </c>
      <c r="D87" s="297" t="inlineStr">
        <is>
          <t xml:space="preserve">Test </t>
        </is>
      </c>
      <c r="E87" s="333">
        <f>IF(LOWER(TRIM(C87))="daily",B87*30,IF(LOWER(TRIM(C87))="weekly",B87*4.33,IF(LOWER(TRIM(C87))="fortnightly",B87*2.17,IF(LOWER(TRIM(C87))="monthly",B87,IF(LOWER(TRIM(C87))="quarterly",B87/3,IF(LOWER(TRIM(C87))="bi-annual",B87/6,IF(LOWER(TRIM(C87))="annually",B87/12,0)))))))</f>
        <v/>
      </c>
      <c r="F87" s="333" t="n"/>
      <c r="G87" s="333" t="n"/>
      <c r="H87" s="294" t="inlineStr">
        <is>
          <t xml:space="preserve">NAB Credit Card XXXX, Direct Debit </t>
        </is>
      </c>
    </row>
    <row r="88">
      <c r="A88" s="293" t="inlineStr">
        <is>
          <t xml:space="preserve">Icloud Storage Iphone </t>
        </is>
      </c>
      <c r="B88" s="333" t="n">
        <v>14.99</v>
      </c>
      <c r="C88" s="294" t="inlineStr">
        <is>
          <t xml:space="preserve">Monthly </t>
        </is>
      </c>
      <c r="D88" s="294" t="inlineStr">
        <is>
          <t xml:space="preserve">Test </t>
        </is>
      </c>
      <c r="E88" s="333">
        <f>IF(LOWER(TRIM(C88))="daily",B88*30,IF(LOWER(TRIM(C88))="weekly",B88*4.33,IF(LOWER(TRIM(C88))="fortnightly",B88*2.17,IF(LOWER(TRIM(C88))="monthly",B88,IF(LOWER(TRIM(C88))="quarterly",B88/3,IF(LOWER(TRIM(C88))="bi-annual",B88/6,IF(LOWER(TRIM(C88))="annually",B88/12,0)))))))</f>
        <v/>
      </c>
      <c r="F88" s="333" t="n"/>
      <c r="G88" s="333" t="n"/>
      <c r="H88" s="294" t="inlineStr">
        <is>
          <t xml:space="preserve">NAB Credit Card XXXX, Direct Debit </t>
        </is>
      </c>
    </row>
    <row r="89">
      <c r="A89" s="295" t="inlineStr">
        <is>
          <t xml:space="preserve">Amazon Prime </t>
        </is>
      </c>
      <c r="B89" s="296" t="n">
        <v>80</v>
      </c>
      <c r="C89" s="297" t="inlineStr">
        <is>
          <t xml:space="preserve">Annually </t>
        </is>
      </c>
      <c r="D89" s="297" t="inlineStr">
        <is>
          <t xml:space="preserve">Test </t>
        </is>
      </c>
      <c r="E89" s="333">
        <f>IF(LOWER(TRIM(C89))="daily",B89*30,IF(LOWER(TRIM(C89))="weekly",B89*4.33,IF(LOWER(TRIM(C89))="fortnightly",B89*2.17,IF(LOWER(TRIM(C89))="monthly",B89,IF(LOWER(TRIM(C89))="quarterly",B89/3,IF(LOWER(TRIM(C89))="bi-annual",B89/6,IF(LOWER(TRIM(C89))="annually",B89/12,0)))))))</f>
        <v/>
      </c>
      <c r="F89" s="333" t="n"/>
      <c r="G89" s="333" t="n"/>
      <c r="H89" s="294" t="inlineStr">
        <is>
          <t xml:space="preserve">NAB Credit Card XXXX, Direct Debit </t>
        </is>
      </c>
    </row>
    <row r="90">
      <c r="A90" s="302" t="inlineStr">
        <is>
          <t xml:space="preserve">Gmail </t>
        </is>
      </c>
      <c r="B90" s="303" t="n">
        <v>44.99</v>
      </c>
      <c r="C90" s="300" t="inlineStr">
        <is>
          <t xml:space="preserve">Annually </t>
        </is>
      </c>
      <c r="D90" s="300" t="inlineStr">
        <is>
          <t xml:space="preserve">Test Spouse </t>
        </is>
      </c>
      <c r="E90" s="333">
        <f>IF(LOWER(TRIM(C90))="daily",B90*30,IF(LOWER(TRIM(C90))="weekly",B90*4.33,IF(LOWER(TRIM(C90))="fortnightly",B90*2.17,IF(LOWER(TRIM(C90))="monthly",B90,IF(LOWER(TRIM(C90))="quarterly",B90/3,IF(LOWER(TRIM(C90))="bi-annual",B90/6,IF(LOWER(TRIM(C90))="annually",B90/12,0)))))))</f>
        <v/>
      </c>
      <c r="F90" s="333" t="n"/>
      <c r="G90" s="333" t="n"/>
      <c r="H90" s="300" t="n"/>
    </row>
    <row r="91">
      <c r="A91" s="302" t="inlineStr">
        <is>
          <t xml:space="preserve">Icloud Storage Iphone </t>
        </is>
      </c>
      <c r="B91" s="303" t="n">
        <v>14.99</v>
      </c>
      <c r="C91" s="300" t="inlineStr">
        <is>
          <t xml:space="preserve">Monthly </t>
        </is>
      </c>
      <c r="D91" s="300" t="inlineStr">
        <is>
          <t xml:space="preserve">Test Spouse </t>
        </is>
      </c>
      <c r="E91" s="333">
        <f>IF(LOWER(TRIM(C91))="daily",B91*30,IF(LOWER(TRIM(C91))="weekly",B91*4.33,IF(LOWER(TRIM(C91))="fortnightly",B91*2.17,IF(LOWER(TRIM(C91))="monthly",B91,IF(LOWER(TRIM(C91))="quarterly",B91/3,IF(LOWER(TRIM(C91))="bi-annual",B91/6,IF(LOWER(TRIM(C91))="annually",B91/12,0)))))))</f>
        <v/>
      </c>
      <c r="F91" s="333" t="n"/>
      <c r="G91" s="333" t="n"/>
      <c r="H91" s="300" t="n"/>
    </row>
    <row r="92">
      <c r="A92" s="302" t="n"/>
      <c r="B92" s="303" t="n"/>
      <c r="C92" s="300" t="n"/>
      <c r="D92" s="300" t="n"/>
      <c r="E92" s="333" t="n"/>
      <c r="F92" s="333">
        <f>SUM(E84:E89)</f>
        <v/>
      </c>
      <c r="G92" s="333" t="n"/>
      <c r="H92" s="300" t="n"/>
    </row>
    <row r="93">
      <c r="A93" s="302" t="n"/>
      <c r="B93" s="303" t="n"/>
      <c r="C93" s="300" t="n"/>
      <c r="D93" s="300" t="n"/>
      <c r="E93" s="333" t="n"/>
      <c r="F93" s="333" t="n"/>
      <c r="G93" s="333" t="n"/>
      <c r="H93" s="300" t="n"/>
    </row>
    <row r="94">
      <c r="A94" s="289" t="inlineStr">
        <is>
          <t xml:space="preserve">Investments </t>
        </is>
      </c>
      <c r="B94" s="308" t="n"/>
      <c r="C94" s="288" t="n"/>
      <c r="D94" s="288" t="n"/>
      <c r="E94" s="284" t="n"/>
      <c r="F94" s="284" t="n"/>
      <c r="G94" s="284" t="n"/>
      <c r="H94" s="288" t="n"/>
    </row>
    <row r="95">
      <c r="A95" s="306" t="inlineStr">
        <is>
          <t>Gen Life Investment Bonds</t>
        </is>
      </c>
      <c r="B95" s="333" t="n">
        <v>650</v>
      </c>
      <c r="C95" s="294" t="inlineStr">
        <is>
          <t xml:space="preserve">Monthly </t>
        </is>
      </c>
      <c r="D95" s="294" t="inlineStr">
        <is>
          <t xml:space="preserve">Test </t>
        </is>
      </c>
      <c r="E95" s="333">
        <f>IF(LOWER(TRIM(C95))="daily",B95*30,IF(LOWER(TRIM(C95))="weekly",B95*4.33,IF(LOWER(TRIM(C95))="fortnightly",B95*2.17,IF(LOWER(TRIM(C95))="monthly",B95,IF(LOWER(TRIM(C95))="quarterly",B95/3,IF(LOWER(TRIM(C95))="bi-annual",B95/6,IF(LOWER(TRIM(C95))="annually",B95/12,0)))))))</f>
        <v/>
      </c>
      <c r="F95" s="333" t="n"/>
      <c r="G95" s="333" t="n"/>
      <c r="H95" s="294" t="inlineStr">
        <is>
          <t xml:space="preserve">NAB Offset </t>
        </is>
      </c>
    </row>
    <row r="96">
      <c r="A96" s="306" t="n"/>
      <c r="B96" s="333" t="n"/>
      <c r="C96" s="294" t="n"/>
      <c r="D96" s="294" t="n"/>
      <c r="E96" s="333" t="n"/>
      <c r="F96" s="333" t="n"/>
      <c r="G96" s="333" t="n"/>
      <c r="H96" s="294" t="n"/>
    </row>
    <row r="97">
      <c r="A97" s="306" t="n"/>
      <c r="B97" s="333" t="n"/>
      <c r="C97" s="294" t="n"/>
      <c r="D97" s="294" t="n"/>
      <c r="E97" s="333" t="n"/>
      <c r="F97" s="333" t="n"/>
      <c r="G97" s="333" t="n"/>
      <c r="H97" s="294" t="n"/>
    </row>
    <row r="98">
      <c r="A98" s="290" t="inlineStr">
        <is>
          <t xml:space="preserve">Fun </t>
        </is>
      </c>
      <c r="B98" s="290" t="n"/>
      <c r="C98" s="290" t="n"/>
      <c r="D98" s="290" t="n"/>
      <c r="E98" s="284" t="n"/>
      <c r="F98" s="284" t="n"/>
      <c r="G98" s="284" t="n"/>
      <c r="H98" s="290" t="n"/>
    </row>
    <row r="99">
      <c r="A99" s="293" t="inlineStr">
        <is>
          <t xml:space="preserve">Weekend Meal </t>
        </is>
      </c>
      <c r="B99" s="333" t="n">
        <v>300</v>
      </c>
      <c r="C99" s="294" t="inlineStr">
        <is>
          <t xml:space="preserve">Weekly </t>
        </is>
      </c>
      <c r="D99" s="294" t="n"/>
      <c r="E99" s="333">
        <f>IF(LOWER(TRIM(C99))="daily",B99*30,IF(LOWER(TRIM(C99))="weekly",B99*4.33,IF(LOWER(TRIM(C99))="fortnightly",B99*2.17,IF(LOWER(TRIM(C99))="monthly",B99,IF(LOWER(TRIM(C99))="quarterly",B99/3,IF(LOWER(TRIM(C99))="bi-annual",B99/6,IF(LOWER(TRIM(C99))="annually",B99/12,0)))))))</f>
        <v/>
      </c>
      <c r="F99" s="333" t="n"/>
      <c r="G99" s="333" t="n"/>
      <c r="H99" s="294" t="n"/>
    </row>
    <row r="100">
      <c r="A100" s="301" t="n"/>
      <c r="B100" s="301" t="n"/>
      <c r="C100" s="301" t="n"/>
      <c r="D100" s="301" t="n"/>
      <c r="E100" s="333" t="n"/>
      <c r="F100" s="333">
        <f>E99</f>
        <v/>
      </c>
      <c r="G100" s="333" t="n"/>
      <c r="H100" s="301" t="n"/>
    </row>
    <row r="101">
      <c r="E101" s="333" t="n"/>
      <c r="F101" s="333" t="n"/>
      <c r="G101" s="333" t="n"/>
    </row>
    <row r="102">
      <c r="A102" s="290" t="inlineStr">
        <is>
          <t xml:space="preserve">Total Expenses and Income </t>
        </is>
      </c>
      <c r="B102" s="290" t="n"/>
      <c r="C102" s="290" t="n"/>
      <c r="D102" s="290" t="n"/>
      <c r="E102" s="290" t="n"/>
      <c r="F102" s="324">
        <f>SUM(F5:F100)</f>
        <v/>
      </c>
      <c r="G102" s="324">
        <f>SUM(G5:G100)</f>
        <v/>
      </c>
      <c r="H102" s="290" t="n"/>
      <c r="J102" s="279" t="n"/>
    </row>
    <row r="103">
      <c r="A103" s="325" t="inlineStr">
        <is>
          <t xml:space="preserve">Total Required Funds For Living </t>
        </is>
      </c>
      <c r="B103" s="325" t="n"/>
      <c r="C103" s="325" t="n"/>
      <c r="D103" s="325" t="n"/>
      <c r="E103" s="325" t="n"/>
      <c r="F103" s="326">
        <f>F102-G102</f>
        <v/>
      </c>
      <c r="G103" s="325" t="n"/>
      <c r="H103" s="325" t="n"/>
      <c r="J103" s="279" t="n"/>
    </row>
    <row r="104"/>
    <row r="105"/>
    <row r="106"/>
    <row r="107">
      <c r="A107" s="185" t="n"/>
      <c r="B107" s="186" t="n"/>
    </row>
    <row r="108">
      <c r="B108" s="195" t="n"/>
      <c r="C108" s="195" t="n"/>
      <c r="D108" s="195" t="n"/>
      <c r="E108" s="195" t="n"/>
      <c r="F108" s="195" t="n"/>
      <c r="G108" s="195" t="n"/>
      <c r="H108" s="195" t="n"/>
    </row>
    <row r="109"/>
    <row r="110">
      <c r="A110" s="184" t="n"/>
      <c r="B110" s="186" t="n"/>
    </row>
    <row r="111">
      <c r="B111" s="195" t="n"/>
      <c r="C111" s="195" t="n"/>
      <c r="D111" s="195" t="n"/>
      <c r="E111" s="195" t="n"/>
      <c r="F111" s="195" t="n"/>
      <c r="G111" s="195" t="n"/>
      <c r="H111" s="195" t="n"/>
    </row>
  </sheetData>
  <pageMargins left="0.7" right="0.7" top="0.75" bottom="0.75" header="0.3" footer="0.3"/>
  <pageSetup orientation="portrait" paperSize="9" horizontalDpi="1200" verticalDpi="12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C28" sqref="C28"/>
    </sheetView>
  </sheetViews>
  <sheetFormatPr baseColWidth="8" defaultRowHeight="15"/>
  <cols>
    <col width="28" bestFit="1" customWidth="1" min="1" max="1"/>
    <col width="9" bestFit="1" customWidth="1" min="2" max="2"/>
    <col width="10.7109375" customWidth="1" min="3" max="3"/>
    <col width="12.7109375" customWidth="1" min="4" max="4"/>
    <col width="10.5703125" bestFit="1" customWidth="1" min="5" max="5"/>
    <col width="9.85546875" bestFit="1" customWidth="1" min="6" max="6"/>
    <col width="9" bestFit="1" customWidth="1" min="7" max="7"/>
    <col width="60" customWidth="1" min="8" max="8"/>
  </cols>
  <sheetData>
    <row r="1" ht="21" customHeight="1">
      <c r="A1" s="328" t="inlineStr">
        <is>
          <t xml:space="preserve">Tax July 24 - June 25  </t>
        </is>
      </c>
      <c r="B1" s="183" t="n"/>
      <c r="C1" s="183" t="n"/>
      <c r="D1" s="183" t="n"/>
      <c r="E1" s="183" t="n"/>
      <c r="F1" s="183" t="n"/>
      <c r="G1" s="183" t="n"/>
      <c r="H1" s="183" t="n"/>
    </row>
    <row r="2">
      <c r="A2" s="290" t="inlineStr">
        <is>
          <t xml:space="preserve">Properties </t>
        </is>
      </c>
      <c r="B2" s="290" t="n"/>
      <c r="C2" s="290" t="n"/>
      <c r="D2" s="290" t="n"/>
      <c r="E2" s="290" t="n"/>
      <c r="F2" s="290" t="n"/>
      <c r="G2" s="290" t="n"/>
      <c r="H2" s="290" t="n"/>
    </row>
    <row r="3">
      <c r="A3" s="298" t="inlineStr">
        <is>
          <t xml:space="preserve">100 Test Street, Test Suburb </t>
        </is>
      </c>
      <c r="B3" s="298" t="n"/>
      <c r="C3" s="298" t="n"/>
      <c r="D3" s="298" t="n"/>
      <c r="E3" s="298" t="n"/>
      <c r="F3" s="298" t="n"/>
      <c r="G3" s="298" t="n"/>
      <c r="H3" s="298" t="n"/>
    </row>
    <row r="4">
      <c r="A4" s="299" t="inlineStr">
        <is>
          <t xml:space="preserve">Items </t>
        </is>
      </c>
      <c r="B4" s="298" t="inlineStr">
        <is>
          <t xml:space="preserve">Cost </t>
        </is>
      </c>
      <c r="C4" s="298" t="inlineStr">
        <is>
          <t xml:space="preserve">Frequency </t>
        </is>
      </c>
      <c r="D4" s="298" t="inlineStr">
        <is>
          <t xml:space="preserve">Purchase Date </t>
        </is>
      </c>
      <c r="E4" s="298" t="inlineStr">
        <is>
          <t xml:space="preserve">Monthly Cost </t>
        </is>
      </c>
      <c r="F4" s="332" t="n"/>
      <c r="G4" s="307" t="n"/>
      <c r="H4" s="298" t="inlineStr">
        <is>
          <t xml:space="preserve">Tax </t>
        </is>
      </c>
    </row>
    <row r="5">
      <c r="A5" s="295" t="inlineStr">
        <is>
          <t xml:space="preserve">Home &amp; Contents Insurance </t>
        </is>
      </c>
      <c r="B5" s="296" t="n">
        <v>1982.33</v>
      </c>
      <c r="C5" s="297" t="inlineStr">
        <is>
          <t xml:space="preserve">Annually </t>
        </is>
      </c>
      <c r="D5" s="297" t="n"/>
      <c r="E5" s="291">
        <f>IF(LOWER(TRIM(C5))="daily",B5*30,IF(LOWER(TRIM(C5))="weekly",B5*4.33,IF(LOWER(TRIM(C5))="fortnightly",B5*2.17,IF(LOWER(TRIM(C5))="monthly",B5,IF(LOWER(TRIM(C5))="quarterly",B5/3,IF(LOWER(TRIM(C5))="bi-annual",B5/6,IF(LOWER(TRIM(C5))="annually",B5/12,0)))))))</f>
        <v/>
      </c>
      <c r="F5" s="291" t="n"/>
      <c r="G5" s="291" t="n"/>
      <c r="H5" s="297" t="inlineStr">
        <is>
          <t xml:space="preserve">Can I claim any of this for tax? </t>
        </is>
      </c>
    </row>
    <row r="6">
      <c r="A6" s="295" t="n"/>
      <c r="B6" s="296" t="n"/>
      <c r="C6" s="297" t="n"/>
      <c r="D6" s="297" t="n"/>
      <c r="E6" s="291" t="n"/>
      <c r="F6" s="291" t="n"/>
      <c r="G6" s="291" t="n"/>
      <c r="H6" s="297" t="n"/>
    </row>
    <row r="7">
      <c r="A7" s="289" t="inlineStr">
        <is>
          <t xml:space="preserve">Automotive Expenses </t>
        </is>
      </c>
      <c r="B7" s="283" t="n"/>
      <c r="C7" s="283" t="n"/>
      <c r="D7" s="283" t="n"/>
      <c r="E7" s="283" t="n"/>
      <c r="F7" s="283" t="n"/>
      <c r="G7" s="283" t="n"/>
      <c r="H7" s="283" t="n"/>
    </row>
    <row r="8">
      <c r="A8" s="298" t="inlineStr">
        <is>
          <t xml:space="preserve">Tesla Model Y (2023) </t>
        </is>
      </c>
      <c r="B8" s="298" t="inlineStr">
        <is>
          <t xml:space="preserve">TBC </t>
        </is>
      </c>
      <c r="C8" s="297" t="inlineStr">
        <is>
          <t xml:space="preserve">Depreciation </t>
        </is>
      </c>
      <c r="D8" s="298" t="n"/>
      <c r="E8" s="298" t="n"/>
      <c r="F8" s="298" t="n"/>
      <c r="G8" s="298" t="n"/>
      <c r="H8" s="297" t="inlineStr">
        <is>
          <t xml:space="preserve">Elio to confirm </t>
        </is>
      </c>
    </row>
    <row r="9">
      <c r="A9" s="295" t="inlineStr">
        <is>
          <t xml:space="preserve">Registration </t>
        </is>
      </c>
      <c r="B9" s="296" t="n">
        <v>830</v>
      </c>
      <c r="C9" s="297" t="inlineStr">
        <is>
          <t xml:space="preserve">Annually </t>
        </is>
      </c>
      <c r="D9" s="297" t="n"/>
      <c r="E9" s="333">
        <f>IF(LOWER(TRIM(C9))="daily",B9*30,IF(LOWER(TRIM(C9))="weekly",B9*4.33,IF(LOWER(TRIM(C9))="fortnightly",B9*2.17,IF(LOWER(TRIM(C9))="monthly",B9,IF(LOWER(TRIM(C9))="quarterly",B9/3,IF(LOWER(TRIM(C9))="bi-annual",B9/6,IF(LOWER(TRIM(C9))="annually",B9/12,0)))))))</f>
        <v/>
      </c>
      <c r="F9" s="333" t="n"/>
      <c r="G9" s="333" t="n"/>
      <c r="H9" s="297" t="inlineStr">
        <is>
          <t>Assuming I can claim this for tax?</t>
        </is>
      </c>
    </row>
    <row r="10">
      <c r="A10" s="293" t="inlineStr">
        <is>
          <t xml:space="preserve">Budget Direct Insurance  </t>
        </is>
      </c>
      <c r="B10" s="333" t="n">
        <v>3452</v>
      </c>
      <c r="C10" s="297" t="inlineStr">
        <is>
          <t xml:space="preserve">Annually </t>
        </is>
      </c>
      <c r="D10" s="294" t="n"/>
      <c r="E10" s="333">
        <f>IF(LOWER(TRIM(C10))="daily",B10*30,IF(LOWER(TRIM(C10))="weekly",B10*4.33,IF(LOWER(TRIM(C10))="fortnightly",B10*2.17,IF(LOWER(TRIM(C10))="monthly",B10,IF(LOWER(TRIM(C10))="quarterly",B10/3,IF(LOWER(TRIM(C10))="bi-annual",B10/6,IF(LOWER(TRIM(C10))="annually",B10/12,0)))))))</f>
        <v/>
      </c>
      <c r="F10" s="333" t="n"/>
      <c r="G10" s="333" t="n"/>
      <c r="H10" s="297" t="inlineStr">
        <is>
          <t>Assuming I can claim this for tax?</t>
        </is>
      </c>
    </row>
    <row r="11">
      <c r="A11" s="295" t="inlineStr">
        <is>
          <t xml:space="preserve">Macquarie Loan Repayments </t>
        </is>
      </c>
      <c r="B11" s="296" t="n">
        <v>1464.38</v>
      </c>
      <c r="C11" s="297" t="inlineStr">
        <is>
          <t xml:space="preserve">Monthly </t>
        </is>
      </c>
      <c r="D11" s="297" t="n"/>
      <c r="E11" s="333">
        <f>IF(LOWER(TRIM(C11))="daily",B11*30,IF(LOWER(TRIM(C11))="weekly",B11*4.33,IF(LOWER(TRIM(C11))="fortnightly",B11*2.17,IF(LOWER(TRIM(C11))="monthly",B11,IF(LOWER(TRIM(C11))="quarterly",B11/3,IF(LOWER(TRIM(C11))="bi-annual",B11/6,IF(LOWER(TRIM(C11))="annually",B11/12,0)))))))</f>
        <v/>
      </c>
      <c r="F11" s="333" t="n"/>
      <c r="G11" s="333" t="n"/>
      <c r="H11" s="297" t="inlineStr">
        <is>
          <t xml:space="preserve">How does it work with the car, assuming I can only claim interest </t>
        </is>
      </c>
    </row>
    <row r="12">
      <c r="A12" s="293" t="inlineStr">
        <is>
          <t xml:space="preserve">Macquarie Loan Interest </t>
        </is>
      </c>
      <c r="B12" s="333" t="n">
        <v>300</v>
      </c>
      <c r="C12" s="294" t="inlineStr">
        <is>
          <t xml:space="preserve">Monthly </t>
        </is>
      </c>
      <c r="D12" s="294" t="n"/>
      <c r="E12" s="333">
        <f>IF(LOWER(TRIM(C12))="daily",B12*30,IF(LOWER(TRIM(C12))="weekly",B12*4.33,IF(LOWER(TRIM(C12))="fortnightly",B12*2.17,IF(LOWER(TRIM(C12))="monthly",B12,IF(LOWER(TRIM(C12))="quarterly",B12/3,IF(LOWER(TRIM(C12))="bi-annual",B12/6,IF(LOWER(TRIM(C12))="annually",B12/12,0)))))))</f>
        <v/>
      </c>
      <c r="F12" s="333" t="n"/>
      <c r="G12" s="333" t="n"/>
      <c r="H12" s="297" t="inlineStr">
        <is>
          <t xml:space="preserve">How does it work with the car, assuming I can only claim interest </t>
        </is>
      </c>
    </row>
    <row r="13">
      <c r="A13" s="295" t="inlineStr">
        <is>
          <t xml:space="preserve">Car Washing / Cleaning </t>
        </is>
      </c>
      <c r="B13" s="296" t="n">
        <v>500</v>
      </c>
      <c r="C13" s="297" t="inlineStr">
        <is>
          <t xml:space="preserve">Annually </t>
        </is>
      </c>
      <c r="D13" s="297" t="n"/>
      <c r="E13" s="333">
        <f>IF(LOWER(TRIM(C13))="daily",B13*30,IF(LOWER(TRIM(C13))="weekly",B13*4.33,IF(LOWER(TRIM(C13))="fortnightly",B13*2.17,IF(LOWER(TRIM(C13))="monthly",B13,IF(LOWER(TRIM(C13))="quarterly",B13/3,IF(LOWER(TRIM(C13))="bi-annual",B13/6,IF(LOWER(TRIM(C13))="annually",B13/12,0)))))))</f>
        <v/>
      </c>
      <c r="F13" s="333" t="n"/>
      <c r="G13" s="333" t="n"/>
      <c r="H13" s="297" t="inlineStr">
        <is>
          <t>Assuming I can claim this for tax?</t>
        </is>
      </c>
    </row>
    <row r="14">
      <c r="A14" s="295" t="inlineStr">
        <is>
          <t xml:space="preserve">Replacement Car Tires </t>
        </is>
      </c>
      <c r="B14" s="296" t="n">
        <v>490</v>
      </c>
      <c r="C14" s="297" t="inlineStr">
        <is>
          <t xml:space="preserve">Once off </t>
        </is>
      </c>
      <c r="D14" s="297" t="n"/>
      <c r="E14" s="333">
        <f>IF(LOWER(TRIM(C14))="daily",B14*30,IF(LOWER(TRIM(C14))="weekly",B14*4.33,IF(LOWER(TRIM(C14))="fortnightly",B14*2.17,IF(LOWER(TRIM(C14))="monthly",B14,IF(LOWER(TRIM(C14))="quarterly",B14/3,IF(LOWER(TRIM(C14))="bi-annual",B14/6,IF(LOWER(TRIM(C14))="annually",B14/12,0)))))))</f>
        <v/>
      </c>
      <c r="F14" s="333" t="n"/>
      <c r="G14" s="333" t="n"/>
      <c r="H14" s="297" t="n"/>
    </row>
    <row r="15">
      <c r="A15" s="295" t="inlineStr">
        <is>
          <t xml:space="preserve">Tolls </t>
        </is>
      </c>
      <c r="B15" s="296" t="n">
        <v>800</v>
      </c>
      <c r="C15" s="297" t="inlineStr">
        <is>
          <t xml:space="preserve">Annual </t>
        </is>
      </c>
      <c r="D15" s="297" t="n"/>
      <c r="E15" s="333">
        <f>IF(LOWER(TRIM(C15))="daily",B15*30,IF(LOWER(TRIM(C15))="weekly",B15*4.33,IF(LOWER(TRIM(C15))="fortnightly",B15*2.17,IF(LOWER(TRIM(C15))="monthly",B15,IF(LOWER(TRIM(C15))="quarterly",B15/3,IF(LOWER(TRIM(C15))="bi-annual",B15/6,IF(LOWER(TRIM(C15))="annually",B15/12,0)))))))</f>
        <v/>
      </c>
      <c r="F15" s="333" t="n"/>
      <c r="G15" s="333" t="n"/>
      <c r="H15" s="297" t="n"/>
    </row>
    <row r="16">
      <c r="A16" s="301" t="n"/>
      <c r="B16" s="301" t="n"/>
      <c r="C16" s="301" t="n"/>
      <c r="D16" s="301" t="n"/>
      <c r="E16" s="333" t="n"/>
      <c r="F16" s="333" t="n"/>
      <c r="G16" s="333" t="n"/>
      <c r="H16" s="301" t="n"/>
    </row>
    <row r="17">
      <c r="A17" s="290" t="inlineStr">
        <is>
          <t xml:space="preserve">Utility Bills </t>
        </is>
      </c>
      <c r="B17" s="290" t="n"/>
      <c r="C17" s="290" t="n"/>
      <c r="D17" s="290" t="n"/>
      <c r="E17" s="284" t="n"/>
      <c r="F17" s="284" t="n"/>
      <c r="G17" s="284" t="n"/>
      <c r="H17" s="290" t="n"/>
    </row>
    <row r="18">
      <c r="A18" s="293" t="inlineStr">
        <is>
          <t xml:space="preserve">Water </t>
        </is>
      </c>
      <c r="B18" s="333" t="n">
        <v>400</v>
      </c>
      <c r="C18" s="294" t="inlineStr">
        <is>
          <t xml:space="preserve">Quarterly </t>
        </is>
      </c>
      <c r="D18" s="294" t="n"/>
      <c r="E18" s="333">
        <f>IF(LOWER(TRIM(C18))="daily",B18*30,IF(LOWER(TRIM(C18))="weekly",B18*4.33,IF(LOWER(TRIM(C18))="fortnightly",B18*2.17,IF(LOWER(TRIM(C18))="monthly",B18,IF(LOWER(TRIM(C18))="quarterly",B18/3,IF(LOWER(TRIM(C18))="bi-annual",B18/6,IF(LOWER(TRIM(C18))="annually",B18/12,0)))))))</f>
        <v/>
      </c>
      <c r="F18" s="333" t="n"/>
      <c r="G18" s="333" t="n"/>
      <c r="H18" s="294" t="inlineStr">
        <is>
          <t xml:space="preserve">Can I claim any of this for tax - work from home? </t>
        </is>
      </c>
    </row>
    <row r="19">
      <c r="A19" s="295" t="inlineStr">
        <is>
          <t xml:space="preserve">Electricity </t>
        </is>
      </c>
      <c r="B19" s="296" t="n">
        <v>90</v>
      </c>
      <c r="C19" s="294" t="inlineStr">
        <is>
          <t>Fortnightly</t>
        </is>
      </c>
      <c r="D19" s="297" t="n"/>
      <c r="E19" s="333">
        <f>IF(LOWER(TRIM(C19))="daily",B19*30,IF(LOWER(TRIM(C19))="weekly",B19*4.33,IF(LOWER(TRIM(C19))="fortnightly",B19*2.17,IF(LOWER(TRIM(C19))="monthly",B19,IF(LOWER(TRIM(C19))="quarterly",B19/3,IF(LOWER(TRIM(C19))="bi-annual",B19/6,IF(LOWER(TRIM(C19))="annually",B19/12,0)))))))</f>
        <v/>
      </c>
      <c r="F19" s="333" t="n"/>
      <c r="G19" s="333" t="n"/>
      <c r="H19" s="294" t="inlineStr">
        <is>
          <t xml:space="preserve">Can I claim any of this for tax - work from home? </t>
        </is>
      </c>
    </row>
    <row r="20">
      <c r="A20" s="293" t="inlineStr">
        <is>
          <t xml:space="preserve">Gas </t>
        </is>
      </c>
      <c r="B20" s="333" t="n">
        <v>45</v>
      </c>
      <c r="C20" s="294" t="inlineStr">
        <is>
          <t xml:space="preserve">Fortnightly </t>
        </is>
      </c>
      <c r="D20" s="294" t="n"/>
      <c r="E20" s="333">
        <f>IF(LOWER(TRIM(C20))="daily",B20*30,IF(LOWER(TRIM(C20))="weekly",B20*4.33,IF(LOWER(TRIM(C20))="fortnightly",B20*2.17,IF(LOWER(TRIM(C20))="monthly",B20,IF(LOWER(TRIM(C20))="quarterly",B20/3,IF(LOWER(TRIM(C20))="bi-annual",B20/6,IF(LOWER(TRIM(C20))="annually",B20/12,0)))))))</f>
        <v/>
      </c>
      <c r="F20" s="333" t="n"/>
      <c r="G20" s="333" t="n"/>
      <c r="H20" s="294" t="inlineStr">
        <is>
          <t xml:space="preserve">Can I claim any of this for tax - work from home? </t>
        </is>
      </c>
    </row>
    <row r="21">
      <c r="A21" s="293" t="inlineStr">
        <is>
          <t xml:space="preserve">Kogan Internet </t>
        </is>
      </c>
      <c r="B21" s="333" t="n">
        <v>83.90000000000001</v>
      </c>
      <c r="C21" s="294" t="inlineStr">
        <is>
          <t xml:space="preserve">Monthly </t>
        </is>
      </c>
      <c r="D21" s="294" t="n"/>
      <c r="E21" s="333">
        <f>IF(LOWER(TRIM(C21))="daily",B21*30,IF(LOWER(TRIM(C21))="weekly",B21*4.33,IF(LOWER(TRIM(C21))="fortnightly",B21*2.17,IF(LOWER(TRIM(C21))="monthly",B21,IF(LOWER(TRIM(C21))="quarterly",B21/3,IF(LOWER(TRIM(C21))="bi-annual",B21/6,IF(LOWER(TRIM(C21))="annually",B21/12,0)))))))</f>
        <v/>
      </c>
      <c r="F21" s="333" t="n"/>
      <c r="G21" s="333" t="n"/>
      <c r="H21" s="294" t="inlineStr">
        <is>
          <t xml:space="preserve">Can I claim any of this for tax - work from home? </t>
        </is>
      </c>
    </row>
    <row r="22">
      <c r="A22" s="293" t="n"/>
      <c r="B22" s="333" t="n"/>
      <c r="C22" s="294" t="n"/>
      <c r="D22" s="294" t="n"/>
      <c r="E22" s="333" t="n"/>
      <c r="F22" s="333">
        <f>SUM(E18:E21)</f>
        <v/>
      </c>
      <c r="G22" s="333" t="n"/>
      <c r="H22" s="294" t="n"/>
    </row>
    <row r="23">
      <c r="A23" s="289" t="inlineStr">
        <is>
          <t xml:space="preserve">Health </t>
        </is>
      </c>
      <c r="B23" s="284" t="n"/>
      <c r="C23" s="285" t="n"/>
      <c r="D23" s="285" t="n"/>
      <c r="E23" s="284" t="n"/>
      <c r="F23" s="284" t="n"/>
      <c r="G23" s="284" t="n"/>
      <c r="H23" s="285" t="n"/>
    </row>
    <row r="24">
      <c r="A24" s="293" t="inlineStr">
        <is>
          <t>BUPA privatehealth</t>
        </is>
      </c>
      <c r="B24" s="333" t="n">
        <v>1882</v>
      </c>
      <c r="C24" s="294" t="inlineStr">
        <is>
          <t xml:space="preserve">Annually </t>
        </is>
      </c>
      <c r="D24" s="294" t="n"/>
      <c r="E24" s="333">
        <f>IF(LOWER(TRIM(C24))="daily",B24*30,IF(LOWER(TRIM(C24))="weekly",B24*4.33,IF(LOWER(TRIM(C24))="fortnightly",B24*2.17,IF(LOWER(TRIM(C24))="monthly",B24,IF(LOWER(TRIM(C24))="quarterly",B24/3,IF(LOWER(TRIM(C24))="bi-annual",B24/6,IF(LOWER(TRIM(C24))="annually",B24/12,0)))))))</f>
        <v/>
      </c>
      <c r="F24" s="333" t="n"/>
      <c r="G24" s="333" t="n"/>
      <c r="H24" s="294" t="inlineStr">
        <is>
          <t xml:space="preserve">Can I claim any of this for tax </t>
        </is>
      </c>
    </row>
    <row r="25">
      <c r="A25" s="293" t="n"/>
      <c r="B25" s="428" t="n"/>
      <c r="C25" s="294" t="n"/>
      <c r="D25" s="294" t="n"/>
      <c r="E25" s="333" t="n"/>
      <c r="F25" s="333" t="n"/>
      <c r="G25" s="333" t="n"/>
      <c r="H25" s="294" t="n"/>
    </row>
    <row r="26">
      <c r="A26" s="289" t="inlineStr">
        <is>
          <t xml:space="preserve">Work - CBRE </t>
        </is>
      </c>
      <c r="B26" s="286" t="n"/>
      <c r="C26" s="287" t="n"/>
      <c r="D26" s="288" t="n"/>
      <c r="E26" s="284">
        <f>IF(LOWER(TRIM(C26))="daily",B26*30,IF(LOWER(TRIM(C26))="weekly",B26*4.33,IF(LOWER(TRIM(C26))="fortnightly",B26*2.17,IF(LOWER(TRIM(C26))="monthly",B26,IF(LOWER(TRIM(C26))="quarterly",B26/3,IF(LOWER(TRIM(C26))="bi-annual",B26/6,IF(LOWER(TRIM(C26))="annually",B26/12,0)))))))</f>
        <v/>
      </c>
      <c r="F26" s="284" t="n"/>
      <c r="G26" s="284" t="n"/>
      <c r="H26" s="287" t="n"/>
    </row>
    <row r="27">
      <c r="A27" s="293" t="inlineStr">
        <is>
          <t xml:space="preserve">General Parking </t>
        </is>
      </c>
      <c r="B27" s="333" t="n">
        <v>200</v>
      </c>
      <c r="C27" s="294" t="inlineStr">
        <is>
          <t xml:space="preserve">Monthly </t>
        </is>
      </c>
      <c r="D27" s="294" t="n"/>
      <c r="E27" s="333">
        <f>IF(LOWER(TRIM(C27))="daily",B27*30,IF(LOWER(TRIM(C27))="weekly",B27*4.33,IF(LOWER(TRIM(C27))="fortnightly",B27*2.17,IF(LOWER(TRIM(C27))="monthly",B27,IF(LOWER(TRIM(C27))="quarterly",B27/3,IF(LOWER(TRIM(C27))="bi-annual",B27/6,IF(LOWER(TRIM(C27))="annually",B27/12,0)))))))</f>
        <v/>
      </c>
      <c r="F27" s="333" t="n"/>
      <c r="G27" s="333" t="n"/>
      <c r="H27" s="297" t="inlineStr">
        <is>
          <t>Assuming I can claim this for tax?</t>
        </is>
      </c>
    </row>
    <row r="28">
      <c r="A28" s="295" t="inlineStr">
        <is>
          <t xml:space="preserve">CBD Car Park </t>
        </is>
      </c>
      <c r="B28" s="296" t="n">
        <v>395</v>
      </c>
      <c r="C28" s="297" t="inlineStr">
        <is>
          <t xml:space="preserve">Monthly </t>
        </is>
      </c>
      <c r="D28" s="297" t="n"/>
      <c r="E28" s="333">
        <f>IF(LOWER(TRIM(C28))="daily",B28*30,IF(LOWER(TRIM(C28))="weekly",B28*4.33,IF(LOWER(TRIM(C28))="fortnightly",B28*2.17,IF(LOWER(TRIM(C28))="monthly",B28,IF(LOWER(TRIM(C28))="quarterly",B28/3,IF(LOWER(TRIM(C28))="bi-annual",B28/6,IF(LOWER(TRIM(C28))="annually",B28/12,0)))))))</f>
        <v/>
      </c>
      <c r="F28" s="333" t="n"/>
      <c r="G28" s="333" t="n"/>
      <c r="H28" s="297" t="inlineStr">
        <is>
          <t>Assuming I can claim this for tax?</t>
        </is>
      </c>
    </row>
    <row r="29">
      <c r="A29" s="293" t="inlineStr">
        <is>
          <t xml:space="preserve">BLA Licence </t>
        </is>
      </c>
      <c r="B29" s="333" t="n">
        <v>244</v>
      </c>
      <c r="C29" s="294" t="inlineStr">
        <is>
          <t>Annually</t>
        </is>
      </c>
      <c r="D29" s="294" t="n"/>
      <c r="E29" s="333">
        <f>IF(LOWER(TRIM(C29))="daily",B29*30,IF(LOWER(TRIM(C29))="weekly",B29*4.33,IF(LOWER(TRIM(C29))="fortnightly",B29*2.17,IF(LOWER(TRIM(C29))="monthly",B29,IF(LOWER(TRIM(C29))="quarterly",B29/3,IF(LOWER(TRIM(C29))="bi-annual",B29/6,IF(LOWER(TRIM(C29))="annually",B29/12,0)))))))</f>
        <v/>
      </c>
      <c r="F29" s="333" t="n"/>
      <c r="G29" s="333" t="n"/>
      <c r="H29" s="297" t="inlineStr">
        <is>
          <t>Assuming I can claim this for tax?</t>
        </is>
      </c>
    </row>
    <row r="30">
      <c r="A30" s="293" t="inlineStr">
        <is>
          <t xml:space="preserve">Suit Drycleaning </t>
        </is>
      </c>
      <c r="B30" s="333" t="inlineStr">
        <is>
          <t>tbc</t>
        </is>
      </c>
      <c r="C30" s="294" t="inlineStr">
        <is>
          <t xml:space="preserve">Monthly </t>
        </is>
      </c>
      <c r="D30" s="294" t="n"/>
      <c r="E30" s="333" t="inlineStr">
        <is>
          <t xml:space="preserve">tbc </t>
        </is>
      </c>
      <c r="F30" s="333" t="n"/>
      <c r="G30" s="333" t="n"/>
      <c r="H30" s="297" t="inlineStr">
        <is>
          <t xml:space="preserve">Do not have records claim maximum </t>
        </is>
      </c>
    </row>
    <row r="31">
      <c r="A31" s="293" t="inlineStr">
        <is>
          <t>Client Gift Whisky Mr Test</t>
        </is>
      </c>
      <c r="B31" s="333" t="n">
        <v>366</v>
      </c>
      <c r="C31" s="294" t="inlineStr">
        <is>
          <t>Once off</t>
        </is>
      </c>
      <c r="D31" s="352" t="n">
        <v>45809</v>
      </c>
      <c r="E31" s="333" t="n"/>
      <c r="F31" s="333" t="n"/>
      <c r="G31" s="333" t="n"/>
      <c r="H31" s="297" t="n"/>
    </row>
    <row r="32">
      <c r="A32" s="293" t="inlineStr">
        <is>
          <t xml:space="preserve">Test Colleague Bonus </t>
        </is>
      </c>
      <c r="B32" s="333" t="n">
        <v>3750</v>
      </c>
      <c r="C32" s="294" t="inlineStr">
        <is>
          <t>Once off</t>
        </is>
      </c>
      <c r="D32" s="352" t="n">
        <v>45809</v>
      </c>
      <c r="E32" s="333" t="n"/>
      <c r="F32" s="333" t="n"/>
      <c r="G32" s="333" t="n"/>
      <c r="H32" s="297" t="inlineStr">
        <is>
          <t xml:space="preserve">This was a direct transfer into his account - not sure if I can claim ? </t>
        </is>
      </c>
    </row>
    <row r="33">
      <c r="A33" s="293" t="inlineStr">
        <is>
          <t xml:space="preserve">Client Donation - Very Special Kids  </t>
        </is>
      </c>
      <c r="B33" s="333" t="n">
        <v>593.9</v>
      </c>
      <c r="C33" s="294" t="inlineStr">
        <is>
          <t>Once off</t>
        </is>
      </c>
      <c r="D33" s="352" t="n">
        <v>45809</v>
      </c>
      <c r="E33" s="333" t="n"/>
      <c r="F33" s="333" t="n"/>
      <c r="G33" s="333" t="n"/>
      <c r="H33" s="297" t="inlineStr">
        <is>
          <t xml:space="preserve">Ticket says it is tax deductable </t>
        </is>
      </c>
    </row>
    <row r="34">
      <c r="A34" s="293" t="inlineStr">
        <is>
          <t>CBRE Christmas party 24</t>
        </is>
      </c>
      <c r="B34" s="333" t="n">
        <v>500</v>
      </c>
      <c r="C34" s="294" t="inlineStr">
        <is>
          <t xml:space="preserve">Once off </t>
        </is>
      </c>
      <c r="D34" s="352" t="n">
        <v>45627</v>
      </c>
      <c r="E34" s="333" t="n"/>
      <c r="F34" s="333" t="n"/>
      <c r="G34" s="333" t="n"/>
      <c r="H34" s="297" t="inlineStr">
        <is>
          <t xml:space="preserve">Direct bank transfer to CBRE state director to fund christmas party </t>
        </is>
      </c>
    </row>
    <row r="35">
      <c r="A35" s="293" t="inlineStr">
        <is>
          <t>Microsoft Surface Pro 11</t>
        </is>
      </c>
      <c r="B35" s="333" t="n">
        <v>2699</v>
      </c>
      <c r="C35" s="294" t="inlineStr">
        <is>
          <t>Once off</t>
        </is>
      </c>
      <c r="D35" s="352" t="n">
        <v>45505</v>
      </c>
      <c r="E35" s="333" t="n"/>
      <c r="F35" s="333" t="n"/>
      <c r="G35" s="333" t="n"/>
      <c r="H35" s="297" t="inlineStr">
        <is>
          <t xml:space="preserve">Assuming this is depreciation? </t>
        </is>
      </c>
    </row>
    <row r="36">
      <c r="A36" s="293" t="inlineStr">
        <is>
          <t xml:space="preserve">Microsoft Surface Pro Key Board </t>
        </is>
      </c>
      <c r="B36" s="333" t="n">
        <v>769</v>
      </c>
      <c r="C36" s="294" t="inlineStr">
        <is>
          <t>Once off</t>
        </is>
      </c>
      <c r="D36" s="352" t="n">
        <v>45505</v>
      </c>
      <c r="E36" s="333" t="n"/>
      <c r="F36" s="333" t="n"/>
      <c r="G36" s="333" t="n"/>
      <c r="H36" s="297" t="n"/>
    </row>
    <row r="37">
      <c r="A37" s="293" t="inlineStr">
        <is>
          <t xml:space="preserve">Microsoft Surface Pro Mouse </t>
        </is>
      </c>
      <c r="B37" s="333" t="n">
        <v>118</v>
      </c>
      <c r="C37" s="294" t="inlineStr">
        <is>
          <t xml:space="preserve">Once off </t>
        </is>
      </c>
      <c r="D37" s="352" t="n">
        <v>45505</v>
      </c>
      <c r="E37" s="333" t="n"/>
      <c r="F37" s="333" t="n"/>
      <c r="G37" s="333" t="n"/>
      <c r="H37" s="297" t="n"/>
    </row>
    <row r="38">
      <c r="A38" s="293" t="inlineStr">
        <is>
          <t xml:space="preserve">Surface Pro Protector </t>
        </is>
      </c>
      <c r="B38" s="333" t="n">
        <v>51</v>
      </c>
      <c r="C38" s="294" t="inlineStr">
        <is>
          <t xml:space="preserve">Once off </t>
        </is>
      </c>
      <c r="D38" s="352" t="n">
        <v>45505</v>
      </c>
      <c r="E38" s="333" t="n"/>
      <c r="F38" s="333" t="n"/>
      <c r="G38" s="333" t="n"/>
      <c r="H38" s="297" t="n"/>
    </row>
    <row r="39">
      <c r="A39" s="293" t="inlineStr">
        <is>
          <t>USB C Headphones and Phone cable</t>
        </is>
      </c>
      <c r="B39" s="333" t="n">
        <v>18.97</v>
      </c>
      <c r="C39" s="294" t="inlineStr">
        <is>
          <t>Once off</t>
        </is>
      </c>
      <c r="D39" s="352" t="n">
        <v>45536</v>
      </c>
      <c r="E39" s="333" t="n"/>
      <c r="F39" s="333" t="n"/>
      <c r="G39" s="333" t="n"/>
      <c r="H39" s="297" t="n"/>
    </row>
    <row r="40">
      <c r="A40" s="293" t="inlineStr">
        <is>
          <t xml:space="preserve">Ludos Work Headphones x 2 </t>
        </is>
      </c>
      <c r="B40" s="333" t="n">
        <v>30</v>
      </c>
      <c r="C40" s="294" t="inlineStr">
        <is>
          <t>Once off</t>
        </is>
      </c>
      <c r="D40" s="294" t="n"/>
      <c r="E40" s="333" t="n"/>
      <c r="F40" s="333" t="n"/>
      <c r="G40" s="333" t="n"/>
      <c r="H40" s="297" t="n"/>
    </row>
    <row r="41">
      <c r="A41" s="293" t="inlineStr">
        <is>
          <t xml:space="preserve">Work Note Books </t>
        </is>
      </c>
      <c r="B41" s="333" t="n">
        <v>74</v>
      </c>
      <c r="C41" s="294" t="inlineStr">
        <is>
          <t>Once off</t>
        </is>
      </c>
      <c r="D41" s="352" t="n">
        <v>45658</v>
      </c>
      <c r="E41" s="333" t="n"/>
      <c r="F41" s="333" t="n"/>
      <c r="G41" s="333" t="n"/>
      <c r="H41" s="297" t="n"/>
    </row>
    <row r="42">
      <c r="A42" s="293" t="inlineStr">
        <is>
          <t xml:space="preserve">Wall Calander - Work Planning </t>
        </is>
      </c>
      <c r="B42" s="333" t="n">
        <v>48</v>
      </c>
      <c r="C42" s="294" t="inlineStr">
        <is>
          <t>Once off</t>
        </is>
      </c>
      <c r="D42" s="352" t="n">
        <v>45658</v>
      </c>
      <c r="E42" s="333" t="n"/>
      <c r="F42" s="333" t="n"/>
      <c r="G42" s="333" t="n"/>
      <c r="H42" s="297" t="n"/>
    </row>
    <row r="43">
      <c r="A43" s="293" t="inlineStr">
        <is>
          <t xml:space="preserve">Cable Tray Home office desk </t>
        </is>
      </c>
      <c r="B43" s="333" t="n">
        <v>31.44</v>
      </c>
      <c r="C43" s="294" t="inlineStr">
        <is>
          <t>Once off</t>
        </is>
      </c>
      <c r="D43" s="352" t="n">
        <v>45689</v>
      </c>
      <c r="E43" s="333" t="n"/>
      <c r="F43" s="333" t="n"/>
      <c r="G43" s="333" t="n"/>
      <c r="H43" s="297" t="n"/>
    </row>
    <row r="44">
      <c r="A44" s="293" t="inlineStr">
        <is>
          <t>USB C to HDMI cable x 2</t>
        </is>
      </c>
      <c r="B44" s="333" t="n">
        <v>30</v>
      </c>
      <c r="C44" s="294" t="inlineStr">
        <is>
          <t>Once off</t>
        </is>
      </c>
      <c r="D44" s="352" t="n">
        <v>45689</v>
      </c>
      <c r="E44" s="333" t="n"/>
      <c r="F44" s="333" t="n"/>
      <c r="G44" s="333" t="n"/>
      <c r="H44" s="297" t="n"/>
    </row>
    <row r="45">
      <c r="A45" s="293" t="inlineStr">
        <is>
          <t xml:space="preserve">Flights - CBRE Portugal </t>
        </is>
      </c>
      <c r="B45" s="333" t="n">
        <v>5624</v>
      </c>
      <c r="C45" s="294" t="inlineStr">
        <is>
          <t xml:space="preserve">Once off </t>
        </is>
      </c>
      <c r="D45" s="352" t="n">
        <v>45536</v>
      </c>
      <c r="E45" s="333" t="n"/>
      <c r="F45" s="333" t="n"/>
      <c r="G45" s="333" t="n"/>
      <c r="H45" s="297" t="inlineStr">
        <is>
          <t xml:space="preserve">Worked at CBRE Portugal for two weeks in their office. Paid for flights with voucher </t>
        </is>
      </c>
    </row>
    <row r="46">
      <c r="A46" s="293" t="inlineStr">
        <is>
          <t xml:space="preserve">Accomodation CBRE Portugal </t>
        </is>
      </c>
      <c r="B46" s="333" t="n">
        <v>2328</v>
      </c>
      <c r="C46" s="294" t="inlineStr">
        <is>
          <t xml:space="preserve">Once off </t>
        </is>
      </c>
      <c r="D46" s="352" t="n">
        <v>45536</v>
      </c>
      <c r="E46" s="333" t="n"/>
      <c r="F46" s="333" t="n"/>
      <c r="G46" s="333" t="n"/>
      <c r="H46" s="297" t="inlineStr">
        <is>
          <t xml:space="preserve">Airbnb near CBRE Portugal office. </t>
        </is>
      </c>
    </row>
    <row r="47">
      <c r="A47" s="293" t="inlineStr">
        <is>
          <t xml:space="preserve">Food expenses Portugal </t>
        </is>
      </c>
      <c r="B47" s="333" t="inlineStr">
        <is>
          <t>TBC</t>
        </is>
      </c>
      <c r="C47" s="294" t="inlineStr">
        <is>
          <t>Once off</t>
        </is>
      </c>
      <c r="D47" s="352" t="n">
        <v>45536</v>
      </c>
      <c r="E47" s="333" t="n"/>
      <c r="F47" s="333" t="n"/>
      <c r="G47" s="333" t="n"/>
      <c r="H47" s="297" t="inlineStr">
        <is>
          <t xml:space="preserve">Not sure if I can claim any p/day expense for the 14 days in Portugal </t>
        </is>
      </c>
    </row>
    <row r="48">
      <c r="A48" s="301" t="n"/>
      <c r="B48" s="301" t="n"/>
      <c r="C48" s="301" t="n"/>
      <c r="D48" s="301" t="n"/>
      <c r="E48" s="296" t="n"/>
      <c r="F48" s="296" t="n"/>
      <c r="G48" s="296" t="n"/>
      <c r="H48" s="301" t="n"/>
    </row>
    <row r="49">
      <c r="A49" s="290" t="inlineStr">
        <is>
          <t xml:space="preserve">Subscriptions </t>
        </is>
      </c>
      <c r="B49" s="286" t="n"/>
      <c r="C49" s="287" t="n"/>
      <c r="D49" s="287" t="n"/>
      <c r="E49" s="284" t="n"/>
      <c r="F49" s="284" t="n"/>
      <c r="G49" s="284" t="n"/>
      <c r="H49" s="287" t="n"/>
    </row>
    <row r="50">
      <c r="A50" s="293" t="inlineStr">
        <is>
          <t xml:space="preserve">Arlo Sercurity </t>
        </is>
      </c>
      <c r="B50" s="333" t="n">
        <v>14.99</v>
      </c>
      <c r="C50" s="294" t="inlineStr">
        <is>
          <t xml:space="preserve">Monthly </t>
        </is>
      </c>
      <c r="D50" s="294" t="n"/>
      <c r="E50" s="333">
        <f>IF(LOWER(TRIM(C50))="daily",B50*30,IF(LOWER(TRIM(C50))="weekly",B50*4.33,IF(LOWER(TRIM(C50))="fortnightly",B50*2.17,IF(LOWER(TRIM(C50))="monthly",B50,IF(LOWER(TRIM(C50))="quarterly",B50/3,IF(LOWER(TRIM(C50))="bi-annual",B50/6,IF(LOWER(TRIM(C50))="annually",B50/12,0)))))))</f>
        <v/>
      </c>
      <c r="F50" s="333" t="n"/>
      <c r="G50" s="333" t="n"/>
      <c r="H50" s="294" t="inlineStr">
        <is>
          <t xml:space="preserve">Can I claim part of this as home office sercurity? </t>
        </is>
      </c>
    </row>
    <row r="51">
      <c r="A51" s="295" t="inlineStr">
        <is>
          <t xml:space="preserve">Chat GPT premium  </t>
        </is>
      </c>
      <c r="B51" s="296" t="n">
        <v>29.99</v>
      </c>
      <c r="C51" s="297" t="inlineStr">
        <is>
          <t xml:space="preserve">Monthly </t>
        </is>
      </c>
      <c r="D51" s="297" t="n"/>
      <c r="E51" s="333">
        <f>IF(LOWER(TRIM(C51))="daily",B51*30,IF(LOWER(TRIM(C51))="weekly",B51*4.33,IF(LOWER(TRIM(C51))="fortnightly",B51*2.17,IF(LOWER(TRIM(C51))="monthly",B51,IF(LOWER(TRIM(C51))="quarterly",B51/3,IF(LOWER(TRIM(C51))="bi-annual",B51/6,IF(LOWER(TRIM(C51))="annually",B51/12,0)))))))</f>
        <v/>
      </c>
      <c r="F51" s="333" t="n"/>
      <c r="G51" s="333" t="n"/>
      <c r="H51" s="294" t="inlineStr">
        <is>
          <t xml:space="preserve">I use this for work everyday </t>
        </is>
      </c>
    </row>
    <row r="52">
      <c r="A52" s="293" t="inlineStr">
        <is>
          <t xml:space="preserve">Icloud Storage Iphone </t>
        </is>
      </c>
      <c r="B52" s="333" t="n">
        <v>14.99</v>
      </c>
      <c r="C52" s="294" t="inlineStr">
        <is>
          <t xml:space="preserve">Monthly </t>
        </is>
      </c>
      <c r="D52" s="294" t="n"/>
      <c r="E52" s="333">
        <f>IF(LOWER(TRIM(C52))="daily",B52*30,IF(LOWER(TRIM(C52))="weekly",B52*4.33,IF(LOWER(TRIM(C52))="fortnightly",B52*2.17,IF(LOWER(TRIM(C52))="monthly",B52,IF(LOWER(TRIM(C52))="quarterly",B52/3,IF(LOWER(TRIM(C52))="bi-annual",B52/6,IF(LOWER(TRIM(C52))="annually",B52/12,0)))))))</f>
        <v/>
      </c>
      <c r="F52" s="333" t="n"/>
      <c r="G52" s="333" t="n"/>
      <c r="H52" s="294" t="inlineStr">
        <is>
          <t xml:space="preserve">This is for storage of work related photos on my phone </t>
        </is>
      </c>
    </row>
    <row r="53">
      <c r="A53" s="293" t="inlineStr">
        <is>
          <t xml:space="preserve">Microsoft 365 Surface Pro </t>
        </is>
      </c>
      <c r="B53" s="333" t="n">
        <v>109</v>
      </c>
      <c r="C53" s="294" t="inlineStr">
        <is>
          <t xml:space="preserve">Annual </t>
        </is>
      </c>
      <c r="D53" s="352" t="n">
        <v>45505</v>
      </c>
      <c r="E53" s="333" t="n"/>
      <c r="F53" s="333" t="n"/>
      <c r="G53" s="333" t="n"/>
      <c r="H53" s="294" t="n"/>
    </row>
    <row r="54">
      <c r="A54" s="302" t="n"/>
      <c r="B54" s="303" t="n"/>
      <c r="C54" s="300" t="n"/>
      <c r="D54" s="300" t="n"/>
      <c r="E54" s="333" t="n"/>
      <c r="F54" s="333" t="n"/>
      <c r="G54" s="333" t="n"/>
      <c r="H54" s="300" t="n"/>
    </row>
    <row r="55">
      <c r="A55" s="183" t="n"/>
      <c r="B55" s="183" t="n"/>
      <c r="C55" s="183" t="n"/>
      <c r="D55" s="183" t="n"/>
      <c r="E55" s="333" t="n"/>
      <c r="F55" s="333" t="n"/>
      <c r="G55" s="333" t="n"/>
      <c r="H55" s="183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C403"/>
  <sheetViews>
    <sheetView topLeftCell="A163" zoomScale="70" zoomScaleNormal="70" zoomScaleSheetLayoutView="80" workbookViewId="0">
      <selection activeCell="C200" sqref="C200"/>
    </sheetView>
  </sheetViews>
  <sheetFormatPr baseColWidth="8" defaultColWidth="17.85546875" defaultRowHeight="13.5"/>
  <cols>
    <col width="14.5703125" customWidth="1" style="174" min="1" max="2"/>
    <col width="46.28515625" customWidth="1" style="174" min="3" max="3"/>
    <col width="28.28515625" customWidth="1" style="174" min="4" max="4"/>
    <col width="17.85546875" customWidth="1" style="275" min="5" max="5"/>
    <col width="38.140625" customWidth="1" style="174" min="6" max="6"/>
    <col width="7.85546875" customWidth="1" style="174" min="7" max="7"/>
    <col width="5.85546875" customWidth="1" style="174" min="8" max="8"/>
    <col width="16" customWidth="1" style="174" min="9" max="9"/>
    <col width="23" customWidth="1" style="174" min="10" max="10"/>
    <col width="25.42578125" customWidth="1" style="174" min="11" max="11"/>
    <col width="17.85546875" customWidth="1" style="174" min="12" max="12"/>
    <col width="19.5703125" customWidth="1" style="174" min="13" max="13"/>
    <col width="22" customWidth="1" style="174" min="14" max="14"/>
    <col width="21.42578125" customWidth="1" style="174" min="15" max="15"/>
    <col width="26" customWidth="1" style="174" min="16" max="16"/>
    <col width="17.140625" customWidth="1" style="174" min="17" max="17"/>
    <col width="13.5703125" customWidth="1" style="174" min="18" max="18"/>
    <col width="18.85546875" customWidth="1" style="174" min="19" max="19"/>
    <col width="5.42578125" customWidth="1" style="174" min="20" max="20"/>
    <col width="17.85546875" customWidth="1" style="174" min="21" max="21"/>
    <col width="34.42578125" customWidth="1" style="174" min="22" max="22"/>
    <col width="16.140625" customWidth="1" style="174" min="23" max="23"/>
    <col width="17.85546875" customWidth="1" style="174" min="24" max="24"/>
    <col width="23.28515625" customWidth="1" style="174" min="25" max="25"/>
    <col width="6.5703125" customWidth="1" style="174" min="26" max="26"/>
    <col width="10.28515625" customWidth="1" style="174" min="27" max="27"/>
    <col width="23.7109375" customWidth="1" style="174" min="28" max="28"/>
    <col width="20.28515625" customWidth="1" style="174" min="29" max="29"/>
    <col width="31.5703125" customWidth="1" style="174" min="30" max="30"/>
    <col width="21.7109375" customWidth="1" style="174" min="31" max="31"/>
    <col width="26.140625" customWidth="1" style="174" min="32" max="32"/>
    <col width="17.85546875" customWidth="1" style="174" min="33" max="33"/>
    <col width="13.5703125" customWidth="1" style="174" min="34" max="34"/>
    <col width="20.7109375" customWidth="1" style="174" min="35" max="35"/>
    <col width="17.85546875" customWidth="1" style="174" min="36" max="37"/>
    <col width="8.85546875" customWidth="1" style="174" min="38" max="38"/>
    <col width="17.85546875" customWidth="1" style="174" min="39" max="39"/>
    <col width="41.7109375" customWidth="1" style="174" min="40" max="40"/>
    <col width="17.85546875" customWidth="1" style="174" min="41" max="42"/>
    <col width="20.7109375" customWidth="1" style="174" min="43" max="43"/>
    <col width="8.140625" customWidth="1" style="174" min="44" max="44"/>
    <col width="17.85546875" customWidth="1" style="174" min="45" max="47"/>
    <col width="18.28515625" customWidth="1" style="174" min="48" max="48"/>
    <col width="6.85546875" customWidth="1" style="174" min="49" max="49"/>
    <col width="17.85546875" customWidth="1" style="174" min="50" max="51"/>
    <col width="46" customWidth="1" style="174" min="52" max="52"/>
    <col width="27.42578125" customWidth="1" style="174" min="53" max="53"/>
    <col width="17.85546875" customWidth="1" style="174" min="54" max="16384"/>
  </cols>
  <sheetData>
    <row r="1">
      <c r="B1" s="174" t="inlineStr">
        <is>
          <t xml:space="preserve">Spending above $100 </t>
        </is>
      </c>
    </row>
    <row r="2" ht="21" customHeight="1">
      <c r="B2" s="266" t="inlineStr">
        <is>
          <t xml:space="preserve">Properties </t>
        </is>
      </c>
      <c r="C2" s="267" t="n"/>
      <c r="D2" s="267" t="n"/>
      <c r="E2" s="270" t="n"/>
      <c r="F2" s="267" t="n"/>
      <c r="J2" s="266" t="inlineStr">
        <is>
          <t xml:space="preserve">Test Spouse Owe Test </t>
        </is>
      </c>
      <c r="K2" s="266" t="n"/>
      <c r="L2" s="266" t="n"/>
      <c r="M2" s="266" t="n"/>
      <c r="N2" s="266" t="n"/>
      <c r="O2" s="266" t="n"/>
      <c r="AA2" s="275" t="n"/>
    </row>
    <row r="3">
      <c r="B3" s="424" t="inlineStr">
        <is>
          <t xml:space="preserve">100 Test Street, Test Suburb </t>
        </is>
      </c>
      <c r="C3" s="429" t="n"/>
      <c r="D3" s="429" t="n"/>
      <c r="E3" s="429" t="n"/>
      <c r="F3" s="429" t="n"/>
      <c r="G3" s="176" t="n"/>
      <c r="H3" s="176" t="n"/>
    </row>
    <row r="4">
      <c r="B4" s="243" t="inlineStr">
        <is>
          <t xml:space="preserve">Date </t>
        </is>
      </c>
      <c r="C4" s="243" t="inlineStr">
        <is>
          <t xml:space="preserve">Item </t>
        </is>
      </c>
      <c r="D4" s="243" t="inlineStr">
        <is>
          <t xml:space="preserve">Subcategory </t>
        </is>
      </c>
      <c r="E4" s="243" t="inlineStr">
        <is>
          <t xml:space="preserve">Cost </t>
        </is>
      </c>
      <c r="F4" s="243" t="inlineStr">
        <is>
          <t xml:space="preserve">Payment Method </t>
        </is>
      </c>
      <c r="J4" s="196" t="inlineStr">
        <is>
          <t xml:space="preserve">Toyota Yarris (2018) </t>
        </is>
      </c>
      <c r="K4" s="196" t="n"/>
      <c r="L4" s="196" t="n"/>
      <c r="M4" s="196" t="n"/>
      <c r="N4" s="196" t="n"/>
    </row>
    <row r="5">
      <c r="B5" s="313" t="n">
        <v>45962</v>
      </c>
      <c r="C5" s="315" t="inlineStr">
        <is>
          <t xml:space="preserve">Bunnings </t>
        </is>
      </c>
      <c r="D5" s="315" t="inlineStr">
        <is>
          <t>Home Improvement / Appliance</t>
        </is>
      </c>
      <c r="E5" s="315" t="n">
        <v>114</v>
      </c>
      <c r="F5" s="314" t="n"/>
      <c r="J5" s="197" t="inlineStr">
        <is>
          <t xml:space="preserve">Date </t>
        </is>
      </c>
      <c r="K5" s="197" t="inlineStr">
        <is>
          <t xml:space="preserve">Item </t>
        </is>
      </c>
      <c r="L5" s="197" t="n"/>
      <c r="M5" s="221" t="inlineStr">
        <is>
          <t xml:space="preserve">Cost </t>
        </is>
      </c>
      <c r="N5" s="197" t="inlineStr">
        <is>
          <t xml:space="preserve">Payment Method </t>
        </is>
      </c>
      <c r="O5" s="197" t="inlineStr">
        <is>
          <t>Percentage %</t>
        </is>
      </c>
    </row>
    <row r="6">
      <c r="B6" s="244" t="n">
        <v>45962</v>
      </c>
      <c r="C6" s="247" t="inlineStr">
        <is>
          <t xml:space="preserve">Sheet Society </t>
        </is>
      </c>
      <c r="D6" s="247" t="inlineStr">
        <is>
          <t xml:space="preserve">Furniture &amp; décor </t>
        </is>
      </c>
      <c r="E6" s="247" t="n">
        <v>204</v>
      </c>
      <c r="F6" s="246" t="inlineStr">
        <is>
          <t xml:space="preserve">NAB Credit Card </t>
        </is>
      </c>
      <c r="J6" s="231" t="n">
        <v>45870</v>
      </c>
      <c r="K6" s="232" t="inlineStr">
        <is>
          <t xml:space="preserve">VIC Roads Transfer Fee </t>
        </is>
      </c>
      <c r="L6" s="232" t="n"/>
      <c r="M6" s="233" t="n">
        <v>341</v>
      </c>
      <c r="N6" s="234" t="inlineStr">
        <is>
          <t>NAB Credit Card</t>
        </is>
      </c>
      <c r="O6" s="276" t="n">
        <v>1</v>
      </c>
      <c r="P6" s="277">
        <f>M6*O6</f>
        <v/>
      </c>
    </row>
    <row r="7">
      <c r="B7" s="244" t="n">
        <v>45962</v>
      </c>
      <c r="C7" s="247" t="inlineStr">
        <is>
          <t xml:space="preserve">Fig Tree Net </t>
        </is>
      </c>
      <c r="D7" s="247" t="inlineStr">
        <is>
          <t>Home Improvement / Appliance</t>
        </is>
      </c>
      <c r="E7" s="247" t="n">
        <v>160</v>
      </c>
      <c r="F7" s="246" t="inlineStr">
        <is>
          <t xml:space="preserve">NAB Credit Card </t>
        </is>
      </c>
      <c r="J7" s="235" t="n">
        <v>45870</v>
      </c>
      <c r="K7" s="236" t="inlineStr">
        <is>
          <t xml:space="preserve">Automotive Purchase </t>
        </is>
      </c>
      <c r="L7" s="236" t="n"/>
      <c r="M7" s="237" t="n">
        <v>12500</v>
      </c>
      <c r="N7" s="238" t="inlineStr">
        <is>
          <t xml:space="preserve">NAB Offset </t>
        </is>
      </c>
      <c r="O7" s="276" t="n">
        <v>0.5</v>
      </c>
      <c r="P7" s="277">
        <f>M7*O7</f>
        <v/>
      </c>
    </row>
    <row r="8">
      <c r="B8" s="244" t="n">
        <v>45931</v>
      </c>
      <c r="C8" s="247" t="inlineStr">
        <is>
          <t>Etsy - record holder</t>
        </is>
      </c>
      <c r="D8" s="247" t="inlineStr">
        <is>
          <t>Home Improvement / Appliance</t>
        </is>
      </c>
      <c r="E8" s="247" t="n">
        <v>203</v>
      </c>
      <c r="F8" s="246" t="inlineStr">
        <is>
          <t xml:space="preserve">NAB Credit Card </t>
        </is>
      </c>
      <c r="J8" s="239" t="n">
        <v>45870</v>
      </c>
      <c r="K8" s="240" t="inlineStr">
        <is>
          <t xml:space="preserve">AAMI Insurance </t>
        </is>
      </c>
      <c r="L8" s="240" t="n"/>
      <c r="M8" s="241" t="n">
        <v>1187.59</v>
      </c>
      <c r="N8" s="242" t="inlineStr">
        <is>
          <t>NAB Credit Card</t>
        </is>
      </c>
      <c r="O8" s="276" t="n">
        <v>1</v>
      </c>
      <c r="P8" s="277">
        <f>M8*O8</f>
        <v/>
      </c>
    </row>
    <row r="9">
      <c r="B9" s="244" t="n">
        <v>45931</v>
      </c>
      <c r="C9" s="247" t="inlineStr">
        <is>
          <t xml:space="preserve">Bowens Timber </t>
        </is>
      </c>
      <c r="D9" s="247" t="inlineStr">
        <is>
          <t>Home Improvement / Appliance</t>
        </is>
      </c>
      <c r="E9" s="247" t="n">
        <v>400</v>
      </c>
      <c r="F9" s="246" t="inlineStr">
        <is>
          <t xml:space="preserve">NAB Credit Card </t>
        </is>
      </c>
      <c r="J9" s="196" t="inlineStr">
        <is>
          <t xml:space="preserve">Sydney 2025 Holiday </t>
        </is>
      </c>
      <c r="K9" s="196" t="n"/>
      <c r="L9" s="196" t="n"/>
      <c r="M9" s="196" t="n"/>
      <c r="N9" s="196" t="n"/>
      <c r="O9" s="196" t="n"/>
      <c r="Q9" s="277">
        <f>SUM(P6:P8)</f>
        <v/>
      </c>
    </row>
    <row r="10">
      <c r="B10" s="244" t="n">
        <v>45931</v>
      </c>
      <c r="C10" s="247" t="inlineStr">
        <is>
          <t xml:space="preserve">Toilet Cover </t>
        </is>
      </c>
      <c r="D10" s="247" t="inlineStr">
        <is>
          <t>Home Improvement / Appliance</t>
        </is>
      </c>
      <c r="E10" s="247" t="n">
        <v>50</v>
      </c>
      <c r="F10" s="246" t="inlineStr">
        <is>
          <t xml:space="preserve">Amazon Gift Voucher </t>
        </is>
      </c>
      <c r="J10" s="196" t="inlineStr">
        <is>
          <t xml:space="preserve">Date </t>
        </is>
      </c>
      <c r="K10" s="196" t="inlineStr">
        <is>
          <t xml:space="preserve">Item </t>
        </is>
      </c>
      <c r="L10" s="196" t="inlineStr">
        <is>
          <t xml:space="preserve">Sub Item </t>
        </is>
      </c>
      <c r="M10" s="196" t="inlineStr">
        <is>
          <t xml:space="preserve">Cost </t>
        </is>
      </c>
      <c r="N10" s="196" t="inlineStr">
        <is>
          <t>Column1</t>
        </is>
      </c>
    </row>
    <row r="11">
      <c r="B11" s="244" t="n">
        <v>45931</v>
      </c>
      <c r="C11" s="247" t="inlineStr">
        <is>
          <t xml:space="preserve">Amazon Bedding  Front Room </t>
        </is>
      </c>
      <c r="D11" s="247" t="inlineStr">
        <is>
          <t>Home Improvement / Appliance</t>
        </is>
      </c>
      <c r="E11" s="247" t="n">
        <v>160</v>
      </c>
      <c r="F11" s="246" t="inlineStr">
        <is>
          <t xml:space="preserve">Amazon Gift Voucher </t>
        </is>
      </c>
      <c r="J11" s="222" t="n">
        <v>45870</v>
      </c>
      <c r="K11" s="430" t="inlineStr">
        <is>
          <t xml:space="preserve">Air-BNB - Sydney </t>
        </is>
      </c>
      <c r="L11" s="205" t="inlineStr">
        <is>
          <t xml:space="preserve">Accomodation </t>
        </is>
      </c>
      <c r="M11" s="223" t="n">
        <v>4612</v>
      </c>
      <c r="N11" s="205" t="inlineStr">
        <is>
          <t>NAB Credit Card</t>
        </is>
      </c>
      <c r="O11" s="276" t="n">
        <v>0.5</v>
      </c>
      <c r="P11" s="277">
        <f>M11*O11</f>
        <v/>
      </c>
    </row>
    <row r="12">
      <c r="B12" s="244" t="n">
        <v>45931</v>
      </c>
      <c r="C12" s="247" t="inlineStr">
        <is>
          <t>Kogan Bar Fridge</t>
        </is>
      </c>
      <c r="D12" s="247" t="inlineStr">
        <is>
          <t>Home Improvement / Appliance</t>
        </is>
      </c>
      <c r="E12" s="247" t="n">
        <v>289</v>
      </c>
      <c r="F12" s="246" t="inlineStr">
        <is>
          <t xml:space="preserve">NAB Credit Card </t>
        </is>
      </c>
      <c r="J12" s="264" t="n">
        <v>45870</v>
      </c>
      <c r="K12" s="206" t="inlineStr">
        <is>
          <t xml:space="preserve">Jetstar Flights - Sydney </t>
        </is>
      </c>
      <c r="L12" s="206" t="inlineStr">
        <is>
          <t>Flights</t>
        </is>
      </c>
      <c r="M12" s="265" t="n">
        <v>1217</v>
      </c>
      <c r="N12" s="206" t="inlineStr">
        <is>
          <t>NAB Credit Card</t>
        </is>
      </c>
      <c r="O12" s="276" t="n">
        <v>0.5</v>
      </c>
      <c r="P12" s="277">
        <f>M12*O12</f>
        <v/>
      </c>
    </row>
    <row r="13">
      <c r="B13" s="244" t="n">
        <v>45931</v>
      </c>
      <c r="C13" s="247" t="inlineStr">
        <is>
          <t xml:space="preserve">Record Player </t>
        </is>
      </c>
      <c r="D13" s="247" t="inlineStr">
        <is>
          <t>Home Improvement / Appliance</t>
        </is>
      </c>
      <c r="E13" s="247" t="n">
        <v>400</v>
      </c>
      <c r="F13" s="246" t="inlineStr">
        <is>
          <t xml:space="preserve">NAB Offset </t>
        </is>
      </c>
      <c r="Q13" s="277">
        <f>P11+P12</f>
        <v/>
      </c>
    </row>
    <row r="14">
      <c r="B14" s="244" t="n">
        <v>45901</v>
      </c>
      <c r="C14" s="247" t="inlineStr">
        <is>
          <t xml:space="preserve">Bunnings plants and herbs </t>
        </is>
      </c>
      <c r="D14" s="247" t="inlineStr">
        <is>
          <t xml:space="preserve">Furniture &amp; décor </t>
        </is>
      </c>
      <c r="E14" s="247" t="n">
        <v>50</v>
      </c>
      <c r="F14" s="246" t="inlineStr">
        <is>
          <t xml:space="preserve">NAB Credit Card </t>
        </is>
      </c>
    </row>
    <row r="15">
      <c r="B15" s="322" t="n">
        <v>45870</v>
      </c>
      <c r="C15" s="323" t="inlineStr">
        <is>
          <t xml:space="preserve">Service Provider Four </t>
        </is>
      </c>
      <c r="D15" s="316" t="inlineStr">
        <is>
          <t xml:space="preserve">Repairs and Maintainence </t>
        </is>
      </c>
      <c r="E15" s="323" t="n">
        <v>2300</v>
      </c>
      <c r="F15" s="316" t="inlineStr">
        <is>
          <t xml:space="preserve">ING Everyday </t>
        </is>
      </c>
      <c r="Q15" s="280">
        <f>SUM(Q9+Q13)</f>
        <v/>
      </c>
    </row>
    <row r="16">
      <c r="B16" s="244" t="n">
        <v>45870</v>
      </c>
      <c r="C16" s="247" t="inlineStr">
        <is>
          <t xml:space="preserve">Harris Scalf Pillow </t>
        </is>
      </c>
      <c r="D16" s="247" t="inlineStr">
        <is>
          <t xml:space="preserve">Furniture &amp; décor </t>
        </is>
      </c>
      <c r="E16" s="247" t="n">
        <v>95</v>
      </c>
      <c r="F16" s="246" t="inlineStr">
        <is>
          <t>NAB Credit Card</t>
        </is>
      </c>
    </row>
    <row r="17">
      <c r="B17" s="322" t="n">
        <v>45839</v>
      </c>
      <c r="C17" s="316" t="inlineStr">
        <is>
          <t xml:space="preserve">Zeropest Removal </t>
        </is>
      </c>
      <c r="D17" s="316" t="inlineStr">
        <is>
          <t xml:space="preserve">Repairs and Maintainence </t>
        </is>
      </c>
      <c r="E17" s="323" t="n">
        <v>566</v>
      </c>
      <c r="F17" s="316" t="inlineStr">
        <is>
          <t>NAB Credit Card</t>
        </is>
      </c>
    </row>
    <row r="18">
      <c r="B18" s="244" t="n">
        <v>45839</v>
      </c>
      <c r="C18" s="247" t="inlineStr">
        <is>
          <t xml:space="preserve">Bunnings </t>
        </is>
      </c>
      <c r="D18" s="247" t="inlineStr">
        <is>
          <t xml:space="preserve">Furniture &amp; décor </t>
        </is>
      </c>
      <c r="E18" s="247" t="n">
        <v>1083</v>
      </c>
      <c r="F18" s="246" t="inlineStr">
        <is>
          <t>NAB Credit Card</t>
        </is>
      </c>
      <c r="AH18" s="228" t="n"/>
    </row>
    <row r="19">
      <c r="B19" s="244" t="n">
        <v>45809</v>
      </c>
      <c r="C19" s="247" t="inlineStr">
        <is>
          <t xml:space="preserve">Clothes Line </t>
        </is>
      </c>
      <c r="D19" s="247" t="inlineStr">
        <is>
          <t xml:space="preserve">Furniture &amp; décor </t>
        </is>
      </c>
      <c r="E19" s="247" t="n">
        <v>209</v>
      </c>
      <c r="F19" s="246" t="inlineStr">
        <is>
          <t>NAB Credit Card</t>
        </is>
      </c>
      <c r="AH19" s="228" t="n"/>
    </row>
    <row r="20">
      <c r="B20" s="322" t="n">
        <v>45809</v>
      </c>
      <c r="C20" s="323" t="inlineStr">
        <is>
          <t xml:space="preserve">Kogan House Heater </t>
        </is>
      </c>
      <c r="D20" s="323" t="inlineStr">
        <is>
          <t xml:space="preserve">Utilities &amp; Appliances </t>
        </is>
      </c>
      <c r="E20" s="323" t="n">
        <v>146</v>
      </c>
      <c r="F20" s="316" t="inlineStr">
        <is>
          <t>NAB Credit Card</t>
        </is>
      </c>
      <c r="AH20" s="228" t="n"/>
    </row>
    <row r="21">
      <c r="B21" s="244" t="n">
        <v>45809</v>
      </c>
      <c r="C21" s="247" t="inlineStr">
        <is>
          <t xml:space="preserve">Nespresso Machine </t>
        </is>
      </c>
      <c r="D21" s="247" t="inlineStr">
        <is>
          <t xml:space="preserve">Utilities &amp; Appliances </t>
        </is>
      </c>
      <c r="E21" s="247" t="n">
        <v>174</v>
      </c>
      <c r="F21" s="246" t="inlineStr">
        <is>
          <t>NAB Credit Card</t>
        </is>
      </c>
      <c r="AH21" s="228" t="n"/>
    </row>
    <row r="22">
      <c r="B22" s="322" t="n">
        <v>45778</v>
      </c>
      <c r="C22" s="323" t="inlineStr">
        <is>
          <t xml:space="preserve">Arlo Camera </t>
        </is>
      </c>
      <c r="D22" s="323" t="inlineStr">
        <is>
          <t>Home Improvement / Appliance</t>
        </is>
      </c>
      <c r="E22" s="323" t="n">
        <v>108</v>
      </c>
      <c r="F22" s="316" t="inlineStr">
        <is>
          <t>NAB Credit Card</t>
        </is>
      </c>
      <c r="AH22" s="228" t="n"/>
    </row>
    <row r="23">
      <c r="B23" s="244" t="n">
        <v>45778</v>
      </c>
      <c r="C23" s="247" t="inlineStr">
        <is>
          <t xml:space="preserve">New brown glasses </t>
        </is>
      </c>
      <c r="D23" s="247" t="inlineStr">
        <is>
          <t xml:space="preserve">House Hold Items </t>
        </is>
      </c>
      <c r="E23" s="247" t="n">
        <v>46</v>
      </c>
      <c r="F23" s="246" t="inlineStr">
        <is>
          <t>NAB Credit Card</t>
        </is>
      </c>
      <c r="AH23" s="228" t="n"/>
      <c r="AP23" s="431" t="n"/>
    </row>
    <row r="24">
      <c r="B24" s="322" t="n">
        <v>45778</v>
      </c>
      <c r="C24" s="323" t="inlineStr">
        <is>
          <t xml:space="preserve">Emma Sleep Pillow </t>
        </is>
      </c>
      <c r="D24" s="323" t="inlineStr">
        <is>
          <t xml:space="preserve">Furniture &amp; décor </t>
        </is>
      </c>
      <c r="E24" s="323" t="n">
        <v>200</v>
      </c>
      <c r="F24" s="316" t="inlineStr">
        <is>
          <t>NAB Credit Card</t>
        </is>
      </c>
      <c r="AA24" s="180" t="n"/>
      <c r="AH24" s="228" t="n"/>
    </row>
    <row r="25">
      <c r="B25" s="244" t="n">
        <v>45778</v>
      </c>
      <c r="C25" s="247" t="inlineStr">
        <is>
          <t xml:space="preserve">Melbourne Indoor Plants </t>
        </is>
      </c>
      <c r="D25" s="247" t="inlineStr">
        <is>
          <t xml:space="preserve">Furniture &amp; décor </t>
        </is>
      </c>
      <c r="E25" s="247" t="n">
        <v>220</v>
      </c>
      <c r="F25" s="246" t="inlineStr">
        <is>
          <t xml:space="preserve">Westpac Choice </t>
        </is>
      </c>
      <c r="AA25" s="180" t="n"/>
      <c r="AH25" s="228" t="n"/>
    </row>
    <row r="26">
      <c r="B26" s="322" t="n">
        <v>45778</v>
      </c>
      <c r="C26" s="323" t="inlineStr">
        <is>
          <t xml:space="preserve">Ready Frames </t>
        </is>
      </c>
      <c r="D26" s="323" t="inlineStr">
        <is>
          <t xml:space="preserve">Furniture &amp; décor </t>
        </is>
      </c>
      <c r="E26" s="323" t="n">
        <v>374</v>
      </c>
      <c r="F26" s="316" t="inlineStr">
        <is>
          <t xml:space="preserve">Westpac Choice </t>
        </is>
      </c>
      <c r="AH26" s="228" t="n"/>
      <c r="AI26" s="228" t="n"/>
      <c r="AJ26" s="230" t="n"/>
      <c r="AK26" s="228" t="n"/>
      <c r="AL26" s="228" t="n"/>
    </row>
    <row r="27">
      <c r="B27" s="244" t="n">
        <v>45778</v>
      </c>
      <c r="C27" s="247" t="inlineStr">
        <is>
          <t>Service Provider Four</t>
        </is>
      </c>
      <c r="D27" s="247" t="inlineStr">
        <is>
          <t>Home Improvement / Appliance</t>
        </is>
      </c>
      <c r="E27" s="247" t="n">
        <v>1750</v>
      </c>
      <c r="F27" s="246" t="inlineStr">
        <is>
          <t xml:space="preserve">ING Everyday </t>
        </is>
      </c>
      <c r="AH27" s="228" t="n"/>
      <c r="AI27" s="228" t="n"/>
      <c r="AJ27" s="230" t="n"/>
      <c r="AK27" s="228" t="n"/>
      <c r="AL27" s="228" t="n"/>
    </row>
    <row r="28">
      <c r="B28" s="322" t="n">
        <v>45778</v>
      </c>
      <c r="C28" s="323" t="inlineStr">
        <is>
          <t>Glassess</t>
        </is>
      </c>
      <c r="D28" s="323" t="inlineStr">
        <is>
          <t xml:space="preserve">Furniture &amp; décor </t>
        </is>
      </c>
      <c r="E28" s="323" t="n">
        <v>50</v>
      </c>
      <c r="F28" s="316" t="inlineStr">
        <is>
          <t>NAB Credit Card</t>
        </is>
      </c>
      <c r="AH28" s="228" t="n"/>
      <c r="AI28" s="228" t="n"/>
      <c r="AJ28" s="230" t="n"/>
      <c r="AK28" s="228" t="n"/>
      <c r="AL28" s="228" t="n"/>
    </row>
    <row r="29">
      <c r="B29" s="244" t="n">
        <v>45778</v>
      </c>
      <c r="C29" s="247" t="inlineStr">
        <is>
          <t xml:space="preserve">Bathroom Mirror </t>
        </is>
      </c>
      <c r="D29" s="247" t="inlineStr">
        <is>
          <t>Home Improvement / Appliance</t>
        </is>
      </c>
      <c r="E29" s="247" t="n">
        <v>200</v>
      </c>
      <c r="F29" s="246" t="inlineStr">
        <is>
          <t xml:space="preserve">Amazon </t>
        </is>
      </c>
      <c r="AH29" s="228" t="n"/>
      <c r="AI29" s="228" t="n"/>
      <c r="AJ29" s="230" t="n"/>
      <c r="AK29" s="228" t="n"/>
      <c r="AL29" s="228" t="n"/>
    </row>
    <row r="30">
      <c r="B30" s="322" t="n">
        <v>45778</v>
      </c>
      <c r="C30" s="323" t="inlineStr">
        <is>
          <t xml:space="preserve">Bathroom Holders </t>
        </is>
      </c>
      <c r="D30" s="323" t="inlineStr">
        <is>
          <t>Home Improvement / Appliance</t>
        </is>
      </c>
      <c r="E30" s="323" t="n">
        <v>31</v>
      </c>
      <c r="F30" s="316" t="inlineStr">
        <is>
          <t xml:space="preserve">Amazon </t>
        </is>
      </c>
      <c r="AH30" s="228" t="n"/>
      <c r="AI30" s="228" t="n"/>
      <c r="AJ30" s="230" t="n"/>
      <c r="AK30" s="228" t="n"/>
      <c r="AL30" s="228" t="n"/>
    </row>
    <row r="31">
      <c r="B31" s="322" t="n">
        <v>45748</v>
      </c>
      <c r="C31" s="323" t="inlineStr">
        <is>
          <t xml:space="preserve">Couch Front Room </t>
        </is>
      </c>
      <c r="D31" s="323" t="inlineStr">
        <is>
          <t xml:space="preserve">Furniture &amp; décor </t>
        </is>
      </c>
      <c r="E31" s="323" t="n">
        <v>1600</v>
      </c>
      <c r="F31" s="316" t="inlineStr">
        <is>
          <t>Virgin Go</t>
        </is>
      </c>
      <c r="AH31" s="228" t="n"/>
      <c r="AI31" s="228" t="n"/>
      <c r="AJ31" s="230" t="n"/>
      <c r="AK31" s="228" t="n"/>
      <c r="AL31" s="228" t="n"/>
    </row>
    <row r="32">
      <c r="B32" s="244" t="n">
        <v>45748</v>
      </c>
      <c r="C32" s="247" t="inlineStr">
        <is>
          <t xml:space="preserve">Food For Everyone Art Work </t>
        </is>
      </c>
      <c r="D32" s="247" t="inlineStr">
        <is>
          <t xml:space="preserve">Furniture &amp; décor </t>
        </is>
      </c>
      <c r="E32" s="247" t="n">
        <v>110</v>
      </c>
      <c r="F32" s="246" t="inlineStr">
        <is>
          <t xml:space="preserve">NAB Credit Card </t>
        </is>
      </c>
      <c r="AH32" s="228" t="n"/>
      <c r="AI32" s="228" t="n"/>
      <c r="AJ32" s="230" t="n"/>
      <c r="AK32" s="228" t="n"/>
      <c r="AL32" s="228" t="n"/>
    </row>
    <row r="33">
      <c r="B33" s="322" t="n">
        <v>45748</v>
      </c>
      <c r="C33" s="323" t="inlineStr">
        <is>
          <t xml:space="preserve">Art Japan Room </t>
        </is>
      </c>
      <c r="D33" s="323" t="inlineStr">
        <is>
          <t xml:space="preserve">Furniture &amp; décor </t>
        </is>
      </c>
      <c r="E33" s="323" t="n">
        <v>60</v>
      </c>
      <c r="F33" s="316" t="inlineStr">
        <is>
          <t xml:space="preserve">NAB Credit Card </t>
        </is>
      </c>
      <c r="AH33" s="228" t="n"/>
      <c r="AI33" s="228" t="n"/>
      <c r="AJ33" s="228" t="n"/>
      <c r="AK33" s="228" t="n"/>
      <c r="AL33" s="228" t="n"/>
    </row>
    <row r="34">
      <c r="B34" s="244" t="n">
        <v>45748</v>
      </c>
      <c r="C34" s="247" t="inlineStr">
        <is>
          <t xml:space="preserve">Art Brunswick pictures </t>
        </is>
      </c>
      <c r="D34" s="247" t="inlineStr">
        <is>
          <t xml:space="preserve">Furniture &amp; décor </t>
        </is>
      </c>
      <c r="E34" s="247" t="n">
        <v>100</v>
      </c>
      <c r="F34" s="246" t="inlineStr">
        <is>
          <t xml:space="preserve">NAB Credit Card </t>
        </is>
      </c>
      <c r="AH34" s="228" t="n"/>
      <c r="AI34" s="228" t="n"/>
      <c r="AJ34" s="228" t="n"/>
      <c r="AK34" s="228" t="n"/>
      <c r="AL34" s="228" t="n"/>
    </row>
    <row r="35">
      <c r="B35" s="322" t="n">
        <v>45717</v>
      </c>
      <c r="C35" s="323" t="inlineStr">
        <is>
          <t>Table Front Room</t>
        </is>
      </c>
      <c r="D35" s="323" t="inlineStr">
        <is>
          <t xml:space="preserve">Furniture &amp; décor </t>
        </is>
      </c>
      <c r="E35" s="323" t="n">
        <v>250</v>
      </c>
      <c r="F35" s="316" t="inlineStr">
        <is>
          <t>Virgin Go</t>
        </is>
      </c>
      <c r="AH35" s="228" t="n"/>
      <c r="AI35" s="228" t="n"/>
      <c r="AJ35" s="228" t="n"/>
      <c r="AK35" s="228" t="n"/>
      <c r="AL35" s="228" t="n"/>
    </row>
    <row r="36">
      <c r="B36" s="244" t="n">
        <v>45689</v>
      </c>
      <c r="C36" s="247" t="inlineStr">
        <is>
          <t xml:space="preserve">Bunnings Collingwood </t>
        </is>
      </c>
      <c r="D36" s="247" t="inlineStr">
        <is>
          <t xml:space="preserve">Furniture &amp; décor </t>
        </is>
      </c>
      <c r="E36" s="247" t="n">
        <v>288</v>
      </c>
      <c r="F36" s="246" t="inlineStr">
        <is>
          <t xml:space="preserve">Westpac Choice </t>
        </is>
      </c>
      <c r="AH36" s="228" t="n"/>
      <c r="AI36" s="228" t="n"/>
      <c r="AJ36" s="230" t="n"/>
      <c r="AK36" s="228" t="n"/>
      <c r="AL36" s="228" t="n"/>
    </row>
    <row r="37">
      <c r="B37" s="244" t="n">
        <v>45689</v>
      </c>
      <c r="C37" s="247" t="inlineStr">
        <is>
          <t xml:space="preserve">Service Provider Five </t>
        </is>
      </c>
      <c r="D37" s="247" t="inlineStr">
        <is>
          <t>Home Improvement / Appliance</t>
        </is>
      </c>
      <c r="E37" s="247" t="n">
        <v>675</v>
      </c>
      <c r="F37" s="246" t="inlineStr">
        <is>
          <t xml:space="preserve">ING Everyday </t>
        </is>
      </c>
      <c r="AH37" s="228" t="n"/>
      <c r="AI37" s="228" t="n"/>
      <c r="AJ37" s="228" t="n"/>
      <c r="AK37" s="228" t="n"/>
      <c r="AL37" s="228" t="n"/>
    </row>
    <row r="38">
      <c r="B38" s="322" t="n">
        <v>45658</v>
      </c>
      <c r="C38" s="323" t="inlineStr">
        <is>
          <t xml:space="preserve">Revel Icebath </t>
        </is>
      </c>
      <c r="D38" s="323" t="inlineStr">
        <is>
          <t xml:space="preserve">Test's area </t>
        </is>
      </c>
      <c r="E38" s="323" t="n">
        <v>2000</v>
      </c>
      <c r="F38" s="316" t="inlineStr">
        <is>
          <t>NAB Credit Card</t>
        </is>
      </c>
      <c r="AH38" s="228" t="n"/>
      <c r="AI38" s="228" t="n"/>
      <c r="AJ38" s="228" t="n"/>
      <c r="AK38" s="228" t="n"/>
      <c r="AL38" s="228" t="n"/>
    </row>
    <row r="39">
      <c r="B39" s="244" t="n">
        <v>45658</v>
      </c>
      <c r="C39" s="247" t="inlineStr">
        <is>
          <t>Keep Cup - Coffee</t>
        </is>
      </c>
      <c r="D39" s="247" t="inlineStr">
        <is>
          <t xml:space="preserve">Furniture &amp; décor </t>
        </is>
      </c>
      <c r="E39" s="247" t="n">
        <v>75</v>
      </c>
      <c r="F39" s="246" t="inlineStr">
        <is>
          <t>NAB Credit Card</t>
        </is>
      </c>
      <c r="AH39" s="228" t="n"/>
      <c r="AI39" s="228" t="n"/>
      <c r="AJ39" s="228" t="n"/>
      <c r="AK39" s="228" t="n"/>
      <c r="AL39" s="228" t="n"/>
    </row>
    <row r="40">
      <c r="B40" s="322" t="n">
        <v>45658</v>
      </c>
      <c r="C40" s="323" t="inlineStr">
        <is>
          <t xml:space="preserve">Shoe Drawer </t>
        </is>
      </c>
      <c r="D40" s="323" t="inlineStr">
        <is>
          <t xml:space="preserve">Furniture &amp; décor </t>
        </is>
      </c>
      <c r="E40" s="323" t="n">
        <v>200</v>
      </c>
      <c r="F40" s="316" t="inlineStr">
        <is>
          <t xml:space="preserve">ING Everyday </t>
        </is>
      </c>
      <c r="AH40" s="228" t="n"/>
      <c r="AI40" s="228" t="n"/>
      <c r="AJ40" s="228" t="n"/>
      <c r="AK40" s="228" t="n"/>
      <c r="AL40" s="228" t="n"/>
    </row>
    <row r="41">
      <c r="B41" s="244" t="n">
        <v>45658</v>
      </c>
      <c r="C41" s="247" t="inlineStr">
        <is>
          <t xml:space="preserve">Toilet Paper Holder </t>
        </is>
      </c>
      <c r="D41" s="247" t="inlineStr">
        <is>
          <t xml:space="preserve">Furniture &amp; décor </t>
        </is>
      </c>
      <c r="E41" s="247" t="n">
        <v>30</v>
      </c>
      <c r="F41" s="246" t="inlineStr">
        <is>
          <t xml:space="preserve">Amazon </t>
        </is>
      </c>
      <c r="AH41" s="228" t="n"/>
      <c r="AI41" s="228" t="n"/>
      <c r="AJ41" s="228" t="n"/>
      <c r="AK41" s="228" t="n"/>
      <c r="AL41" s="228" t="n"/>
    </row>
    <row r="42">
      <c r="B42" s="322" t="n">
        <v>45658</v>
      </c>
      <c r="C42" s="323" t="inlineStr">
        <is>
          <t xml:space="preserve">Airfryer </t>
        </is>
      </c>
      <c r="D42" s="323" t="inlineStr">
        <is>
          <t xml:space="preserve">Utilities &amp; Appliances </t>
        </is>
      </c>
      <c r="E42" s="323" t="n">
        <v>122</v>
      </c>
      <c r="F42" s="316" t="inlineStr">
        <is>
          <t xml:space="preserve">Amazon </t>
        </is>
      </c>
      <c r="AH42" s="228" t="n"/>
      <c r="AI42" s="228" t="n"/>
      <c r="AJ42" s="228" t="n"/>
      <c r="AK42" s="228" t="n"/>
      <c r="AL42" s="228" t="n"/>
    </row>
    <row r="43">
      <c r="B43" s="244" t="n">
        <v>45627</v>
      </c>
      <c r="C43" s="247" t="inlineStr">
        <is>
          <t>Cupboard and Car Hire</t>
        </is>
      </c>
      <c r="D43" s="247" t="inlineStr">
        <is>
          <t xml:space="preserve">Furniture &amp; décor </t>
        </is>
      </c>
      <c r="E43" s="247" t="n">
        <v>150</v>
      </c>
      <c r="F43" s="246" t="n"/>
      <c r="U43" s="187" t="n"/>
      <c r="V43" s="188" t="n"/>
      <c r="W43" s="188" t="n"/>
      <c r="X43" s="189" t="n"/>
      <c r="Y43" s="188" t="n"/>
      <c r="AH43" s="228" t="n"/>
      <c r="AI43" s="228" t="n"/>
      <c r="AJ43" s="228" t="n"/>
      <c r="AK43" s="228" t="n"/>
      <c r="AL43" s="228" t="n"/>
    </row>
    <row r="44">
      <c r="B44" s="322" t="n">
        <v>45627</v>
      </c>
      <c r="C44" s="323" t="inlineStr">
        <is>
          <t xml:space="preserve">Service Provider Five </t>
        </is>
      </c>
      <c r="D44" s="323" t="inlineStr">
        <is>
          <t>Home Improvement / Appliance</t>
        </is>
      </c>
      <c r="E44" s="323" t="n">
        <v>371</v>
      </c>
      <c r="F44" s="316" t="inlineStr">
        <is>
          <t xml:space="preserve">ING Everyday </t>
        </is>
      </c>
      <c r="U44" s="187" t="n"/>
      <c r="V44" s="188" t="n"/>
      <c r="W44" s="188" t="n"/>
      <c r="X44" s="189" t="n"/>
      <c r="Y44" s="188" t="n"/>
      <c r="AH44" s="228" t="n"/>
      <c r="AI44" s="228" t="n"/>
      <c r="AJ44" s="228" t="n"/>
      <c r="AK44" s="228" t="n"/>
      <c r="AL44" s="228" t="n"/>
    </row>
    <row r="45" ht="14.45" customHeight="1">
      <c r="B45" s="244" t="n">
        <v>45627</v>
      </c>
      <c r="C45" s="247" t="inlineStr">
        <is>
          <t xml:space="preserve">Service Provider Five </t>
        </is>
      </c>
      <c r="D45" s="247" t="inlineStr">
        <is>
          <t xml:space="preserve">Test's area </t>
        </is>
      </c>
      <c r="E45" s="247" t="n">
        <v>350</v>
      </c>
      <c r="F45" s="246" t="inlineStr">
        <is>
          <t xml:space="preserve">ING Everyday </t>
        </is>
      </c>
      <c r="U45" s="187" t="n"/>
      <c r="V45" s="188" t="n"/>
      <c r="W45" s="188" t="n"/>
      <c r="X45" s="189" t="n"/>
      <c r="Y45" s="188" t="n"/>
      <c r="AH45" s="228" t="n"/>
      <c r="AI45" s="228" t="n"/>
      <c r="AJ45" s="228" t="n"/>
      <c r="AK45" s="228" t="n"/>
      <c r="AL45" s="228" t="n"/>
    </row>
    <row r="46" ht="14.45" customHeight="1">
      <c r="B46" s="322" t="n">
        <v>45627</v>
      </c>
      <c r="C46" s="323" t="inlineStr">
        <is>
          <t xml:space="preserve">Sauna </t>
        </is>
      </c>
      <c r="D46" s="323" t="inlineStr">
        <is>
          <t xml:space="preserve">Test's area </t>
        </is>
      </c>
      <c r="E46" s="323" t="n">
        <v>5500</v>
      </c>
      <c r="F46" s="316" t="n"/>
      <c r="U46" s="187" t="n"/>
      <c r="V46" s="188" t="n"/>
      <c r="W46" s="188" t="n"/>
      <c r="X46" s="189" t="n"/>
      <c r="Y46" s="188" t="n"/>
      <c r="AH46" s="228" t="n"/>
      <c r="AI46" s="228" t="n"/>
      <c r="AJ46" s="228" t="n"/>
      <c r="AK46" s="228" t="n"/>
      <c r="AL46" s="228" t="n"/>
    </row>
    <row r="47" ht="14.45" customHeight="1">
      <c r="B47" s="244" t="n">
        <v>45627</v>
      </c>
      <c r="C47" s="247" t="inlineStr">
        <is>
          <t xml:space="preserve">Gym Flooring Garage </t>
        </is>
      </c>
      <c r="D47" s="247" t="inlineStr">
        <is>
          <t xml:space="preserve">Test's area </t>
        </is>
      </c>
      <c r="E47" s="247" t="n">
        <v>250</v>
      </c>
      <c r="F47" s="246" t="inlineStr">
        <is>
          <t>Cash</t>
        </is>
      </c>
      <c r="U47" s="187" t="n"/>
      <c r="V47" s="188" t="n"/>
      <c r="W47" s="188" t="n"/>
      <c r="X47" s="189" t="n"/>
      <c r="Y47" s="188" t="n"/>
      <c r="AH47" s="228" t="n"/>
      <c r="AI47" s="228" t="n"/>
      <c r="AJ47" s="228" t="n"/>
      <c r="AK47" s="228" t="n"/>
      <c r="AL47" s="228" t="n"/>
    </row>
    <row r="48" ht="14.45" customHeight="1">
      <c r="B48" s="322" t="n">
        <v>45627</v>
      </c>
      <c r="C48" s="323" t="inlineStr">
        <is>
          <t>Gym Boxes</t>
        </is>
      </c>
      <c r="D48" s="323" t="inlineStr">
        <is>
          <t xml:space="preserve">Test's area </t>
        </is>
      </c>
      <c r="E48" s="323" t="n">
        <v>100</v>
      </c>
      <c r="F48" s="316" t="inlineStr">
        <is>
          <t xml:space="preserve">Cash </t>
        </is>
      </c>
      <c r="U48" s="187" t="n"/>
      <c r="V48" s="188" t="n"/>
      <c r="W48" s="188" t="n"/>
      <c r="X48" s="189" t="n"/>
      <c r="Y48" s="188" t="n"/>
      <c r="AH48" s="228" t="n"/>
      <c r="AI48" s="228" t="n"/>
      <c r="AJ48" s="228" t="n"/>
      <c r="AK48" s="228" t="n"/>
      <c r="AL48" s="228" t="n"/>
    </row>
    <row r="49" ht="14.45" customHeight="1">
      <c r="B49" s="322" t="n">
        <v>45597</v>
      </c>
      <c r="C49" s="323" t="inlineStr">
        <is>
          <t xml:space="preserve">Shed - Harvey Norman </t>
        </is>
      </c>
      <c r="D49" s="323" t="inlineStr">
        <is>
          <t>Home Improvement / Appliance</t>
        </is>
      </c>
      <c r="E49" s="323" t="n">
        <v>300</v>
      </c>
      <c r="F49" s="316" t="inlineStr">
        <is>
          <t xml:space="preserve">Cash </t>
        </is>
      </c>
      <c r="U49" s="187" t="n"/>
      <c r="V49" s="188" t="n"/>
      <c r="W49" s="188" t="n"/>
      <c r="X49" s="189" t="n"/>
      <c r="Y49" s="188" t="n"/>
      <c r="AH49" s="228" t="n"/>
      <c r="AI49" s="228" t="n"/>
      <c r="AJ49" s="228" t="n"/>
      <c r="AK49" s="228" t="n"/>
      <c r="AL49" s="228" t="n"/>
    </row>
    <row r="50">
      <c r="B50" s="244" t="n">
        <v>45597</v>
      </c>
      <c r="C50" s="247" t="inlineStr">
        <is>
          <t xml:space="preserve">Solar Panels for camera </t>
        </is>
      </c>
      <c r="D50" s="247" t="inlineStr">
        <is>
          <t xml:space="preserve">Utilities &amp; Appliances </t>
        </is>
      </c>
      <c r="E50" s="247" t="n">
        <v>65</v>
      </c>
      <c r="F50" s="246" t="inlineStr">
        <is>
          <t xml:space="preserve">Amazon </t>
        </is>
      </c>
      <c r="U50" s="187" t="n"/>
      <c r="V50" s="188" t="n"/>
      <c r="W50" s="188" t="n"/>
      <c r="X50" s="189" t="n"/>
      <c r="Y50" s="188" t="n"/>
      <c r="AH50" s="228" t="n"/>
      <c r="AI50" s="228" t="n"/>
      <c r="AJ50" s="228" t="n"/>
      <c r="AK50" s="228" t="n"/>
      <c r="AL50" s="228" t="n"/>
    </row>
    <row r="51">
      <c r="B51" s="322" t="n">
        <v>45597</v>
      </c>
      <c r="C51" s="323" t="inlineStr">
        <is>
          <t xml:space="preserve">Pan and kitchen utensils </t>
        </is>
      </c>
      <c r="D51" s="323" t="inlineStr">
        <is>
          <t xml:space="preserve">Utilities &amp; Appliances </t>
        </is>
      </c>
      <c r="E51" s="323" t="n">
        <v>168</v>
      </c>
      <c r="F51" s="316" t="inlineStr">
        <is>
          <t xml:space="preserve">Amazon </t>
        </is>
      </c>
      <c r="U51" s="187" t="n"/>
      <c r="V51" s="188" t="n"/>
      <c r="W51" s="188" t="n"/>
      <c r="X51" s="189" t="n"/>
      <c r="Y51" s="188" t="n"/>
      <c r="AH51" s="228" t="n"/>
      <c r="AI51" s="228" t="n"/>
      <c r="AJ51" s="228" t="n"/>
      <c r="AK51" s="228" t="n"/>
      <c r="AL51" s="228" t="n"/>
    </row>
    <row r="52">
      <c r="B52" s="244" t="n">
        <v>45474</v>
      </c>
      <c r="C52" s="247" t="inlineStr">
        <is>
          <t xml:space="preserve">Front lever gym bar </t>
        </is>
      </c>
      <c r="D52" s="247" t="inlineStr">
        <is>
          <t xml:space="preserve">Test's area </t>
        </is>
      </c>
      <c r="E52" s="247" t="n">
        <v>200</v>
      </c>
      <c r="F52" s="246" t="inlineStr">
        <is>
          <t xml:space="preserve">NAB Credit old </t>
        </is>
      </c>
      <c r="U52" s="187" t="n"/>
      <c r="V52" s="188" t="n"/>
      <c r="W52" s="188" t="n"/>
      <c r="X52" s="189" t="n"/>
      <c r="Y52" s="188" t="n"/>
      <c r="AH52" s="228" t="n"/>
      <c r="AI52" s="228" t="n"/>
      <c r="AJ52" s="228" t="n"/>
      <c r="AK52" s="228" t="n"/>
      <c r="AL52" s="228" t="n"/>
    </row>
    <row r="53">
      <c r="B53" s="322" t="n">
        <v>45383</v>
      </c>
      <c r="C53" s="323" t="inlineStr">
        <is>
          <t xml:space="preserve">Gym P Bars </t>
        </is>
      </c>
      <c r="D53" s="323" t="inlineStr">
        <is>
          <t xml:space="preserve">Test's area </t>
        </is>
      </c>
      <c r="E53" s="323" t="n">
        <v>129</v>
      </c>
      <c r="F53" s="316" t="n"/>
      <c r="U53" s="187" t="n"/>
      <c r="V53" s="188" t="n"/>
      <c r="W53" s="188" t="n"/>
      <c r="X53" s="189" t="n"/>
      <c r="Y53" s="188" t="n"/>
      <c r="AH53" s="228" t="n"/>
      <c r="AI53" s="228" t="n"/>
      <c r="AJ53" s="228" t="n"/>
      <c r="AK53" s="228" t="n"/>
      <c r="AL53" s="228" t="n"/>
    </row>
    <row r="54">
      <c r="B54" s="244" t="n"/>
      <c r="C54" s="247" t="n"/>
      <c r="D54" s="247" t="n"/>
      <c r="E54" s="247" t="n"/>
      <c r="F54" s="246" t="n"/>
      <c r="U54" s="187" t="n"/>
      <c r="V54" s="188" t="n"/>
      <c r="W54" s="188" t="n"/>
      <c r="X54" s="189" t="n"/>
      <c r="Y54" s="188" t="n"/>
      <c r="AH54" s="228" t="n"/>
      <c r="AI54" s="228" t="n"/>
      <c r="AJ54" s="228" t="n"/>
      <c r="AK54" s="228" t="n"/>
      <c r="AL54" s="228" t="n"/>
    </row>
    <row r="55">
      <c r="B55" s="425" t="inlineStr">
        <is>
          <t xml:space="preserve">200 Test Drive,Test Suburb  </t>
        </is>
      </c>
      <c r="C55" s="429" t="n"/>
      <c r="D55" s="429" t="n"/>
      <c r="E55" s="429" t="n"/>
      <c r="F55" s="429" t="n"/>
      <c r="AH55" s="228" t="n"/>
      <c r="AI55" s="228" t="n"/>
      <c r="AJ55" s="228" t="n"/>
      <c r="AK55" s="228" t="n"/>
      <c r="AL55" s="228" t="n"/>
    </row>
    <row r="56">
      <c r="B56" s="263" t="inlineStr">
        <is>
          <t xml:space="preserve">Date </t>
        </is>
      </c>
      <c r="C56" s="221" t="inlineStr">
        <is>
          <t xml:space="preserve">Item </t>
        </is>
      </c>
      <c r="D56" s="221" t="inlineStr">
        <is>
          <t>Column1</t>
        </is>
      </c>
      <c r="E56" s="221" t="inlineStr">
        <is>
          <t xml:space="preserve">Cost </t>
        </is>
      </c>
      <c r="F56" s="197" t="inlineStr">
        <is>
          <t xml:space="preserve">Payment Method </t>
        </is>
      </c>
      <c r="AH56" s="228" t="n"/>
      <c r="AI56" s="228" t="n"/>
      <c r="AJ56" s="228" t="n"/>
      <c r="AK56" s="228" t="n"/>
      <c r="AL56" s="228" t="n"/>
    </row>
    <row r="57">
      <c r="B57" s="198" t="n">
        <v>45778</v>
      </c>
      <c r="C57" s="200" t="inlineStr">
        <is>
          <t xml:space="preserve">Legal Advice </t>
        </is>
      </c>
      <c r="D57" s="200" t="n"/>
      <c r="E57" s="200" t="n">
        <v>1320</v>
      </c>
      <c r="F57" s="199" t="inlineStr">
        <is>
          <t xml:space="preserve">ING Everyday </t>
        </is>
      </c>
      <c r="AH57" s="228" t="n"/>
      <c r="AI57" s="228" t="n"/>
      <c r="AJ57" s="228" t="n"/>
      <c r="AK57" s="228" t="n"/>
      <c r="AL57" s="228" t="n"/>
    </row>
    <row r="58">
      <c r="B58" s="219" t="n">
        <v>45748</v>
      </c>
      <c r="C58" s="220" t="inlineStr">
        <is>
          <t xml:space="preserve">Offset Trust Set Up - TT </t>
        </is>
      </c>
      <c r="D58" s="220" t="n"/>
      <c r="E58" s="432" t="n">
        <v>1100</v>
      </c>
      <c r="F58" s="202" t="inlineStr">
        <is>
          <t xml:space="preserve">ING Everyday </t>
        </is>
      </c>
      <c r="AH58" s="228" t="n"/>
      <c r="AI58" s="228" t="n"/>
      <c r="AJ58" s="228" t="n"/>
      <c r="AK58" s="228" t="n"/>
      <c r="AL58" s="228" t="n"/>
    </row>
    <row r="59" ht="19.5" customHeight="1">
      <c r="B59" s="264" t="n">
        <v>45748</v>
      </c>
      <c r="C59" s="265" t="inlineStr">
        <is>
          <t>Bank Val</t>
        </is>
      </c>
      <c r="D59" s="265" t="n"/>
      <c r="E59" s="265" t="n">
        <v>3356.8</v>
      </c>
      <c r="F59" s="206" t="inlineStr">
        <is>
          <t>NAB Credit Card</t>
        </is>
      </c>
      <c r="AH59" s="228" t="n"/>
      <c r="AI59" s="228" t="n"/>
      <c r="AJ59" s="228" t="n"/>
      <c r="AK59" s="228" t="n"/>
      <c r="AL59" s="228" t="n"/>
    </row>
    <row r="60"/>
    <row r="61" ht="21" customHeight="1">
      <c r="B61" s="266" t="inlineStr">
        <is>
          <t xml:space="preserve">Automotive Expenses </t>
        </is>
      </c>
      <c r="C61" s="268" t="n"/>
      <c r="D61" s="268" t="n"/>
      <c r="E61" s="269" t="n"/>
      <c r="F61" s="268" t="n"/>
    </row>
    <row r="62">
      <c r="B62" s="196" t="inlineStr">
        <is>
          <t xml:space="preserve">Tesla Model Y (2023) </t>
        </is>
      </c>
      <c r="C62" s="196" t="n"/>
      <c r="D62" s="196" t="n"/>
      <c r="E62" s="196" t="n"/>
      <c r="F62" s="196" t="n"/>
    </row>
    <row r="63">
      <c r="B63" s="197" t="inlineStr">
        <is>
          <t xml:space="preserve">Date </t>
        </is>
      </c>
      <c r="C63" s="197" t="inlineStr">
        <is>
          <t xml:space="preserve">Item </t>
        </is>
      </c>
      <c r="D63" s="197" t="inlineStr">
        <is>
          <t xml:space="preserve">Subcategory </t>
        </is>
      </c>
      <c r="E63" s="197" t="inlineStr">
        <is>
          <t xml:space="preserve">Cost </t>
        </is>
      </c>
      <c r="F63" s="197" t="inlineStr">
        <is>
          <t xml:space="preserve">Payment Method </t>
        </is>
      </c>
    </row>
    <row r="64">
      <c r="B64" s="309" t="n">
        <v>45870</v>
      </c>
      <c r="C64" s="310" t="inlineStr">
        <is>
          <t xml:space="preserve">Registration </t>
        </is>
      </c>
      <c r="D64" s="310" t="n"/>
      <c r="E64" s="310" t="n">
        <v>834</v>
      </c>
      <c r="F64" s="311" t="inlineStr">
        <is>
          <t xml:space="preserve">NAB Credit Card </t>
        </is>
      </c>
    </row>
    <row r="65">
      <c r="B65" s="329" t="n">
        <v>45536</v>
      </c>
      <c r="C65" s="330" t="inlineStr">
        <is>
          <t xml:space="preserve">Mobile Tyres </t>
        </is>
      </c>
      <c r="D65" s="330" t="n"/>
      <c r="E65" s="330" t="n">
        <v>90</v>
      </c>
      <c r="F65" s="331" t="inlineStr">
        <is>
          <t xml:space="preserve">ING Everyday </t>
        </is>
      </c>
    </row>
    <row r="66">
      <c r="B66" s="309" t="n">
        <v>45536</v>
      </c>
      <c r="C66" s="310" t="inlineStr">
        <is>
          <t xml:space="preserve">Mobile Tyres </t>
        </is>
      </c>
      <c r="D66" s="310" t="n"/>
      <c r="E66" s="310" t="n">
        <v>400</v>
      </c>
      <c r="F66" s="311" t="inlineStr">
        <is>
          <t xml:space="preserve">ING Everyday </t>
        </is>
      </c>
      <c r="G66" s="228" t="n"/>
    </row>
    <row r="67">
      <c r="B67" s="309" t="n">
        <v>45901</v>
      </c>
      <c r="C67" s="310" t="inlineStr">
        <is>
          <t xml:space="preserve">Magic Car Wash </t>
        </is>
      </c>
      <c r="D67" s="310" t="n"/>
      <c r="E67" s="433" t="n">
        <v>228</v>
      </c>
      <c r="F67" s="311" t="inlineStr">
        <is>
          <t xml:space="preserve">NAB Credit Card </t>
        </is>
      </c>
      <c r="G67" s="228" t="n"/>
    </row>
    <row r="68"/>
    <row r="69">
      <c r="B69" s="196" t="inlineStr">
        <is>
          <t xml:space="preserve">Toyota Yarris (2018) </t>
        </is>
      </c>
      <c r="C69" s="196" t="n"/>
      <c r="D69" s="196" t="n"/>
      <c r="E69" s="196" t="n"/>
      <c r="F69" s="196" t="n"/>
    </row>
    <row r="70">
      <c r="B70" s="197" t="inlineStr">
        <is>
          <t xml:space="preserve">Date </t>
        </is>
      </c>
      <c r="C70" s="197" t="inlineStr">
        <is>
          <t xml:space="preserve">Item </t>
        </is>
      </c>
      <c r="D70" s="197" t="n"/>
      <c r="E70" s="221" t="inlineStr">
        <is>
          <t xml:space="preserve">Cost </t>
        </is>
      </c>
      <c r="F70" s="197" t="inlineStr">
        <is>
          <t xml:space="preserve">Payment Method </t>
        </is>
      </c>
    </row>
    <row r="71">
      <c r="B71" s="231" t="n">
        <v>45870</v>
      </c>
      <c r="C71" s="232" t="inlineStr">
        <is>
          <t xml:space="preserve">VIC Roads Transfer Fee </t>
        </is>
      </c>
      <c r="D71" s="232" t="n"/>
      <c r="E71" s="233" t="n">
        <v>341</v>
      </c>
      <c r="F71" s="234" t="inlineStr">
        <is>
          <t>NAB Credit Card</t>
        </is>
      </c>
    </row>
    <row r="72">
      <c r="B72" s="235" t="n">
        <v>45870</v>
      </c>
      <c r="C72" s="236" t="inlineStr">
        <is>
          <t xml:space="preserve">Automotive Purchase </t>
        </is>
      </c>
      <c r="D72" s="236" t="n"/>
      <c r="E72" s="237" t="n">
        <v>12500</v>
      </c>
      <c r="F72" s="238" t="inlineStr">
        <is>
          <t xml:space="preserve">NAB Offset </t>
        </is>
      </c>
      <c r="AY72" s="226" t="n"/>
      <c r="BB72" s="275" t="n"/>
      <c r="BC72" s="227" t="n"/>
    </row>
    <row r="73">
      <c r="B73" s="239" t="n">
        <v>45870</v>
      </c>
      <c r="C73" s="240" t="inlineStr">
        <is>
          <t xml:space="preserve">AAMI Insurance </t>
        </is>
      </c>
      <c r="D73" s="240" t="n"/>
      <c r="E73" s="241" t="n">
        <v>1187.59</v>
      </c>
      <c r="F73" s="242" t="inlineStr">
        <is>
          <t>NAB Credit Card</t>
        </is>
      </c>
    </row>
    <row r="74">
      <c r="E74" s="174" t="n"/>
    </row>
    <row r="75" ht="21" customHeight="1">
      <c r="B75" s="266" t="inlineStr">
        <is>
          <t xml:space="preserve">Food and Groceries </t>
        </is>
      </c>
      <c r="C75" s="266" t="n"/>
      <c r="D75" s="266" t="n"/>
      <c r="E75" s="266" t="n"/>
      <c r="F75" s="266" t="n"/>
      <c r="AX75" s="191" t="n"/>
      <c r="AY75" s="192" t="n"/>
      <c r="AZ75" s="192" t="n"/>
      <c r="BA75" s="193" t="n"/>
      <c r="BB75" s="194" t="n"/>
    </row>
    <row r="76">
      <c r="B76" s="174" t="inlineStr">
        <is>
          <t>Date</t>
        </is>
      </c>
      <c r="C76" s="174" t="inlineStr">
        <is>
          <t xml:space="preserve">Item </t>
        </is>
      </c>
      <c r="D76" s="174" t="inlineStr">
        <is>
          <t>Subcategory</t>
        </is>
      </c>
      <c r="E76" s="275" t="inlineStr">
        <is>
          <t xml:space="preserve">Cost </t>
        </is>
      </c>
      <c r="F76" s="174" t="inlineStr">
        <is>
          <t xml:space="preserve">Payment Method </t>
        </is>
      </c>
      <c r="AX76" s="191" t="n"/>
      <c r="AY76" s="192" t="n"/>
      <c r="AZ76" s="192" t="n"/>
      <c r="BA76" s="193" t="n"/>
      <c r="BB76" s="194" t="n"/>
    </row>
    <row r="77" ht="15.6" customHeight="1">
      <c r="B77" s="179" t="inlineStr">
        <is>
          <t>Jan - Sep -25</t>
        </is>
      </c>
      <c r="C77" s="174" t="inlineStr">
        <is>
          <t xml:space="preserve">Uber Eats </t>
        </is>
      </c>
      <c r="D77" s="174" t="inlineStr">
        <is>
          <t xml:space="preserve">Food </t>
        </is>
      </c>
      <c r="E77" s="275" t="n">
        <v>471</v>
      </c>
      <c r="F77" s="174" t="inlineStr">
        <is>
          <t xml:space="preserve">NAB Credit Card </t>
        </is>
      </c>
    </row>
    <row r="78">
      <c r="B78" s="179" t="n"/>
      <c r="C78" s="174" t="inlineStr">
        <is>
          <t xml:space="preserve">Messina </t>
        </is>
      </c>
      <c r="D78" s="174" t="inlineStr">
        <is>
          <t xml:space="preserve">Food </t>
        </is>
      </c>
    </row>
    <row r="79">
      <c r="B79" s="177" t="n">
        <v>45778</v>
      </c>
      <c r="C79" s="174" t="inlineStr">
        <is>
          <t xml:space="preserve">Nespresso </t>
        </is>
      </c>
      <c r="D79" s="174" t="inlineStr">
        <is>
          <t>Beverage</t>
        </is>
      </c>
      <c r="E79" s="275" t="n">
        <v>115</v>
      </c>
      <c r="F79" s="174" t="inlineStr">
        <is>
          <t xml:space="preserve">Westpac Joint </t>
        </is>
      </c>
    </row>
    <row r="80" ht="15.6" customHeight="1">
      <c r="B80" s="177" t="n">
        <v>45901</v>
      </c>
      <c r="C80" s="174" t="inlineStr">
        <is>
          <t xml:space="preserve">Butcher Crowd </t>
        </is>
      </c>
      <c r="D80" s="174" t="inlineStr">
        <is>
          <t xml:space="preserve">Food </t>
        </is>
      </c>
      <c r="E80" s="275" t="n">
        <v>279</v>
      </c>
      <c r="F80" s="174" t="inlineStr">
        <is>
          <t xml:space="preserve">NAB Credit Card </t>
        </is>
      </c>
    </row>
    <row r="81" ht="13.9" customHeight="1">
      <c r="B81" s="179" t="inlineStr">
        <is>
          <t>Fri-25</t>
        </is>
      </c>
      <c r="C81" s="174" t="inlineStr">
        <is>
          <t>Messina Egg</t>
        </is>
      </c>
      <c r="D81" s="174" t="inlineStr">
        <is>
          <t xml:space="preserve">Food </t>
        </is>
      </c>
      <c r="E81" s="275" t="n">
        <v>80</v>
      </c>
      <c r="F81" s="174" t="inlineStr">
        <is>
          <t xml:space="preserve">NAB Credit Card </t>
        </is>
      </c>
    </row>
    <row r="82" ht="15" customHeight="1">
      <c r="B82" s="222" t="n">
        <v>45597</v>
      </c>
      <c r="C82" s="224" t="inlineStr">
        <is>
          <t>Nespresso Coffee</t>
        </is>
      </c>
      <c r="D82" s="224" t="inlineStr">
        <is>
          <t xml:space="preserve">Utilities &amp; Appliances </t>
        </is>
      </c>
      <c r="E82" s="224" t="n">
        <v>180</v>
      </c>
      <c r="F82" s="225" t="inlineStr">
        <is>
          <t xml:space="preserve">NAB Credit </t>
        </is>
      </c>
    </row>
    <row r="83" ht="15" customFormat="1" customHeight="1" s="228">
      <c r="B83" s="244" t="n"/>
      <c r="C83" s="273" t="n"/>
      <c r="D83" s="273" t="n"/>
      <c r="E83" s="273" t="n"/>
      <c r="F83" s="274" t="n"/>
    </row>
    <row r="84" ht="29.25" customHeight="1">
      <c r="B84" s="266" t="inlineStr">
        <is>
          <t xml:space="preserve">Subscriptions &amp; Memberships </t>
        </is>
      </c>
      <c r="C84" s="268" t="n"/>
      <c r="D84" s="268" t="n"/>
      <c r="E84" s="269" t="n"/>
      <c r="F84" s="268" t="n"/>
    </row>
    <row r="85" ht="15" customHeight="1">
      <c r="B85" s="196" t="inlineStr">
        <is>
          <t xml:space="preserve">Date </t>
        </is>
      </c>
      <c r="C85" s="196" t="inlineStr">
        <is>
          <t>Item</t>
        </is>
      </c>
      <c r="D85" s="196" t="inlineStr">
        <is>
          <t xml:space="preserve">Subcategory </t>
        </is>
      </c>
      <c r="E85" s="271" t="inlineStr">
        <is>
          <t xml:space="preserve">Cost </t>
        </is>
      </c>
      <c r="F85" s="196" t="inlineStr">
        <is>
          <t xml:space="preserve">Payment Method </t>
        </is>
      </c>
    </row>
    <row r="86" ht="15" customHeight="1">
      <c r="B86" s="272" t="n">
        <v>45901</v>
      </c>
      <c r="C86" s="205" t="inlineStr">
        <is>
          <t xml:space="preserve">MCC Membership </t>
        </is>
      </c>
      <c r="D86" s="205" t="n"/>
      <c r="E86" s="223" t="n">
        <v>700</v>
      </c>
      <c r="F86" s="205" t="inlineStr">
        <is>
          <t xml:space="preserve">NAB Credit Card </t>
        </is>
      </c>
    </row>
    <row r="87" ht="15" customHeight="1">
      <c r="B87" s="222" t="n">
        <v>45505</v>
      </c>
      <c r="C87" s="224" t="inlineStr">
        <is>
          <t xml:space="preserve">Microsoft 1 year subscription </t>
        </is>
      </c>
      <c r="D87" s="224" t="n"/>
      <c r="E87" s="434" t="n">
        <v>109</v>
      </c>
      <c r="F87" s="225" t="n"/>
    </row>
    <row r="88" ht="15" customHeight="1">
      <c r="B88" s="219" t="n"/>
      <c r="C88" s="275" t="n"/>
      <c r="D88" s="275" t="n"/>
      <c r="E88" s="275" t="n"/>
    </row>
    <row r="89" ht="36" customHeight="1">
      <c r="B89" s="266" t="inlineStr">
        <is>
          <t xml:space="preserve">Education </t>
        </is>
      </c>
      <c r="C89" s="268" t="n"/>
      <c r="D89" s="268" t="n"/>
      <c r="E89" s="269" t="n"/>
      <c r="F89" s="268" t="n"/>
    </row>
    <row r="90" ht="15" customHeight="1">
      <c r="B90" s="196" t="inlineStr">
        <is>
          <t xml:space="preserve">Date </t>
        </is>
      </c>
      <c r="C90" s="196" t="inlineStr">
        <is>
          <t xml:space="preserve">Item </t>
        </is>
      </c>
      <c r="D90" s="196" t="inlineStr">
        <is>
          <t xml:space="preserve">Subcategory </t>
        </is>
      </c>
      <c r="E90" s="271" t="inlineStr">
        <is>
          <t xml:space="preserve">Cost </t>
        </is>
      </c>
      <c r="F90" s="196" t="inlineStr">
        <is>
          <t xml:space="preserve">Payment Method </t>
        </is>
      </c>
    </row>
    <row r="91" ht="15" customHeight="1">
      <c r="B91" s="272" t="n">
        <v>45778</v>
      </c>
      <c r="C91" s="205" t="inlineStr">
        <is>
          <t>Pearson Australia Group</t>
        </is>
      </c>
      <c r="D91" s="205" t="n"/>
      <c r="E91" s="223" t="n">
        <v>475</v>
      </c>
      <c r="F91" s="205" t="inlineStr">
        <is>
          <t xml:space="preserve">Westpac Joint </t>
        </is>
      </c>
    </row>
    <row r="92" ht="15" customHeight="1">
      <c r="E92" s="174" t="n"/>
    </row>
    <row r="93" ht="33.75" customHeight="1">
      <c r="B93" s="266" t="inlineStr">
        <is>
          <t xml:space="preserve">Travel and Transport </t>
        </is>
      </c>
      <c r="C93" s="266" t="n"/>
      <c r="D93" s="266" t="n"/>
      <c r="E93" s="266" t="n"/>
      <c r="F93" s="266" t="n"/>
    </row>
    <row r="94" ht="15" customHeight="1">
      <c r="B94" s="248" t="inlineStr">
        <is>
          <t>Date</t>
        </is>
      </c>
      <c r="C94" s="248" t="inlineStr">
        <is>
          <t xml:space="preserve">Item </t>
        </is>
      </c>
      <c r="D94" s="248" t="inlineStr">
        <is>
          <t>Subcategory</t>
        </is>
      </c>
      <c r="E94" s="249" t="inlineStr">
        <is>
          <t xml:space="preserve">Cost </t>
        </is>
      </c>
      <c r="F94" s="248" t="inlineStr">
        <is>
          <t xml:space="preserve">Payment Method </t>
        </is>
      </c>
    </row>
    <row r="95" ht="15" customHeight="1">
      <c r="B95" s="174" t="inlineStr">
        <is>
          <t>Jan - Sep -25</t>
        </is>
      </c>
      <c r="C95" s="174" t="inlineStr">
        <is>
          <t>Ubers</t>
        </is>
      </c>
      <c r="D95" s="174" t="inlineStr">
        <is>
          <t xml:space="preserve">Transport </t>
        </is>
      </c>
      <c r="E95" s="174" t="n">
        <v>492</v>
      </c>
      <c r="F95" s="174" t="inlineStr">
        <is>
          <t xml:space="preserve">NAB Credit Card </t>
        </is>
      </c>
    </row>
    <row r="96" ht="15" customHeight="1">
      <c r="B96" s="282" t="n">
        <v>45931</v>
      </c>
      <c r="C96" s="224" t="inlineStr">
        <is>
          <t xml:space="preserve">Uber Gibson Wine Bar </t>
        </is>
      </c>
      <c r="D96" s="224" t="inlineStr">
        <is>
          <t xml:space="preserve">Transport </t>
        </is>
      </c>
      <c r="E96" s="224" t="n">
        <v>50</v>
      </c>
      <c r="F96" s="225" t="inlineStr">
        <is>
          <t xml:space="preserve">NAB Credit Card </t>
        </is>
      </c>
    </row>
    <row r="97">
      <c r="E97" s="174" t="n"/>
    </row>
    <row r="98" ht="21" customHeight="1">
      <c r="B98" s="266" t="inlineStr">
        <is>
          <t xml:space="preserve">Health </t>
        </is>
      </c>
      <c r="C98" s="267" t="n"/>
      <c r="D98" s="267" t="n"/>
      <c r="E98" s="267" t="n"/>
      <c r="F98" s="267" t="n"/>
    </row>
    <row r="99">
      <c r="B99" s="196" t="inlineStr">
        <is>
          <t xml:space="preserve">Health </t>
        </is>
      </c>
      <c r="C99" s="196" t="n"/>
      <c r="D99" s="196" t="n"/>
      <c r="E99" s="196" t="n"/>
      <c r="F99" s="196" t="n"/>
    </row>
    <row r="100">
      <c r="B100" s="174" t="inlineStr">
        <is>
          <t xml:space="preserve">Date </t>
        </is>
      </c>
      <c r="C100" s="174" t="inlineStr">
        <is>
          <t xml:space="preserve">Item </t>
        </is>
      </c>
      <c r="D100" s="174" t="inlineStr">
        <is>
          <t xml:space="preserve">Sub category </t>
        </is>
      </c>
      <c r="E100" s="174" t="inlineStr">
        <is>
          <t xml:space="preserve">Cost </t>
        </is>
      </c>
      <c r="F100" s="174" t="inlineStr">
        <is>
          <t xml:space="preserve">Payment Method </t>
        </is>
      </c>
    </row>
    <row r="101" ht="21.6" customHeight="1">
      <c r="B101" s="177" t="n">
        <v>45870</v>
      </c>
      <c r="C101" s="275" t="inlineStr">
        <is>
          <t xml:space="preserve">I-Herb Suppliments </t>
        </is>
      </c>
      <c r="D101" s="275" t="inlineStr">
        <is>
          <t xml:space="preserve">Suppliments </t>
        </is>
      </c>
      <c r="E101" s="275" t="n">
        <v>142</v>
      </c>
      <c r="F101" s="174" t="inlineStr">
        <is>
          <t>NAB Credit Card</t>
        </is>
      </c>
    </row>
    <row r="102" ht="21.6" customHeight="1">
      <c r="B102" s="177" t="n">
        <v>45870</v>
      </c>
      <c r="C102" s="275" t="inlineStr">
        <is>
          <t xml:space="preserve">I-Herb Suppliments </t>
        </is>
      </c>
      <c r="D102" s="275" t="inlineStr">
        <is>
          <t xml:space="preserve">Suppliments </t>
        </is>
      </c>
      <c r="E102" s="275" t="n">
        <v>90</v>
      </c>
      <c r="F102" s="174" t="inlineStr">
        <is>
          <t>NAB Credit Card</t>
        </is>
      </c>
    </row>
    <row r="103" ht="21.6" customHeight="1">
      <c r="B103" s="177" t="n">
        <v>45870</v>
      </c>
      <c r="C103" s="275" t="inlineStr">
        <is>
          <t xml:space="preserve">Inner North Medical Clinic </t>
        </is>
      </c>
      <c r="D103" s="275" t="inlineStr">
        <is>
          <t>Doctor</t>
        </is>
      </c>
      <c r="E103" s="275" t="n">
        <v>109</v>
      </c>
      <c r="F103" s="174" t="inlineStr">
        <is>
          <t>NAB Credit Card</t>
        </is>
      </c>
    </row>
    <row r="104" ht="21.6" customHeight="1">
      <c r="B104" s="177" t="n">
        <v>45839</v>
      </c>
      <c r="C104" s="275" t="inlineStr">
        <is>
          <t xml:space="preserve">Australian Unity Test Spouse </t>
        </is>
      </c>
      <c r="D104" s="275" t="inlineStr">
        <is>
          <t xml:space="preserve">Insurance </t>
        </is>
      </c>
      <c r="E104" s="275" t="n">
        <v>242.85</v>
      </c>
      <c r="F104" s="174" t="inlineStr">
        <is>
          <t>NAB Credit Card</t>
        </is>
      </c>
    </row>
    <row r="105">
      <c r="B105" s="177" t="n">
        <v>45839</v>
      </c>
      <c r="C105" s="275" t="inlineStr">
        <is>
          <t xml:space="preserve">Ever-Lab </t>
        </is>
      </c>
      <c r="D105" s="275" t="inlineStr">
        <is>
          <t xml:space="preserve">Personal </t>
        </is>
      </c>
      <c r="E105" s="275" t="n">
        <v>2700</v>
      </c>
      <c r="F105" s="174" t="inlineStr">
        <is>
          <t>NAB Credit Card</t>
        </is>
      </c>
    </row>
    <row r="106">
      <c r="B106" s="177" t="n">
        <v>45839</v>
      </c>
      <c r="C106" s="275" t="inlineStr">
        <is>
          <t xml:space="preserve">Ambulance Service </t>
        </is>
      </c>
      <c r="D106" s="275" t="inlineStr">
        <is>
          <t xml:space="preserve">Insurance </t>
        </is>
      </c>
      <c r="E106" s="275" t="n">
        <v>53</v>
      </c>
      <c r="F106" s="174" t="inlineStr">
        <is>
          <t xml:space="preserve">ING Everyday direct debit </t>
        </is>
      </c>
    </row>
    <row r="107">
      <c r="B107" s="177" t="n">
        <v>45809</v>
      </c>
      <c r="C107" s="275" t="inlineStr">
        <is>
          <t xml:space="preserve">Ever-Lab </t>
        </is>
      </c>
      <c r="D107" s="275" t="inlineStr">
        <is>
          <t xml:space="preserve">Personal </t>
        </is>
      </c>
      <c r="E107" s="275" t="n">
        <v>299</v>
      </c>
      <c r="F107" s="174" t="inlineStr">
        <is>
          <t>NAB Credit Card</t>
        </is>
      </c>
    </row>
    <row r="108">
      <c r="B108" s="177" t="n">
        <v>45809</v>
      </c>
      <c r="C108" s="275" t="inlineStr">
        <is>
          <t xml:space="preserve">Surry Hills Dental </t>
        </is>
      </c>
      <c r="D108" s="275" t="inlineStr">
        <is>
          <t xml:space="preserve">Dental </t>
        </is>
      </c>
      <c r="E108" s="275" t="n">
        <v>95</v>
      </c>
      <c r="F108" s="174" t="inlineStr">
        <is>
          <t>NAB Credit Card</t>
        </is>
      </c>
    </row>
    <row r="109">
      <c r="B109" s="177" t="n">
        <v>45778</v>
      </c>
      <c r="C109" s="275" t="inlineStr">
        <is>
          <t xml:space="preserve">Australian Unity Test Spouse </t>
        </is>
      </c>
      <c r="D109" s="275" t="inlineStr">
        <is>
          <t xml:space="preserve">Insurance </t>
        </is>
      </c>
      <c r="E109" s="275" t="n">
        <v>242.85</v>
      </c>
      <c r="F109" s="174" t="inlineStr">
        <is>
          <t>NAB Credit Card</t>
        </is>
      </c>
    </row>
    <row r="110">
      <c r="B110" s="177" t="n">
        <v>45778</v>
      </c>
      <c r="C110" s="275" t="inlineStr">
        <is>
          <t xml:space="preserve">TAL Life Insurance </t>
        </is>
      </c>
      <c r="D110" s="275" t="inlineStr">
        <is>
          <t xml:space="preserve">Insurance </t>
        </is>
      </c>
      <c r="E110" s="275" t="n">
        <v>530</v>
      </c>
      <c r="F110" s="174" t="inlineStr">
        <is>
          <t xml:space="preserve">Westpac </t>
        </is>
      </c>
      <c r="K110" s="180" t="n">
        <v>45536</v>
      </c>
      <c r="L110" s="174" t="inlineStr">
        <is>
          <t>Dan Murphys</t>
        </is>
      </c>
      <c r="N110" s="431" t="n">
        <v>229</v>
      </c>
      <c r="O110" s="174" t="inlineStr">
        <is>
          <t xml:space="preserve">NAB credit old </t>
        </is>
      </c>
    </row>
    <row r="111">
      <c r="B111" s="177" t="n">
        <v>45658</v>
      </c>
      <c r="C111" s="275" t="inlineStr">
        <is>
          <t xml:space="preserve">Australian Unity Test Spouse </t>
        </is>
      </c>
      <c r="D111" s="275" t="inlineStr">
        <is>
          <t xml:space="preserve">Insurance </t>
        </is>
      </c>
      <c r="E111" s="275" t="n">
        <v>242.85</v>
      </c>
      <c r="F111" s="174" t="inlineStr">
        <is>
          <t>NAB Credit Card</t>
        </is>
      </c>
      <c r="K111" s="180" t="n">
        <v>45536</v>
      </c>
      <c r="L111" s="174" t="inlineStr">
        <is>
          <t xml:space="preserve">Loquorland </t>
        </is>
      </c>
      <c r="N111" s="431" t="n">
        <v>169</v>
      </c>
      <c r="O111" s="174" t="inlineStr">
        <is>
          <t xml:space="preserve">nab Credit old </t>
        </is>
      </c>
    </row>
    <row r="112">
      <c r="B112" s="177" t="n">
        <v>45658</v>
      </c>
      <c r="C112" s="275" t="inlineStr">
        <is>
          <t xml:space="preserve">I-Herb Suppliments </t>
        </is>
      </c>
      <c r="D112" s="275" t="inlineStr">
        <is>
          <t xml:space="preserve">Suppliments </t>
        </is>
      </c>
      <c r="E112" s="275" t="n">
        <v>650</v>
      </c>
      <c r="F112" s="174" t="inlineStr">
        <is>
          <t>NAB Credit Card</t>
        </is>
      </c>
    </row>
    <row r="113">
      <c r="B113" s="177" t="n">
        <v>45658</v>
      </c>
      <c r="C113" s="275" t="inlineStr">
        <is>
          <t xml:space="preserve">H20 Water Bottle </t>
        </is>
      </c>
      <c r="D113" s="275" t="inlineStr">
        <is>
          <t xml:space="preserve">Personal </t>
        </is>
      </c>
      <c r="E113" s="275" t="n">
        <v>139</v>
      </c>
      <c r="F113" s="174" t="inlineStr">
        <is>
          <t>NAB Credit Card</t>
        </is>
      </c>
    </row>
    <row r="114">
      <c r="B114" s="177" t="n">
        <v>45627</v>
      </c>
      <c r="C114" s="275" t="inlineStr">
        <is>
          <t xml:space="preserve">Surry Hills Dental </t>
        </is>
      </c>
      <c r="D114" s="275" t="inlineStr">
        <is>
          <t xml:space="preserve">Dental </t>
        </is>
      </c>
      <c r="E114" s="275" t="n">
        <v>94</v>
      </c>
      <c r="F114" s="174" t="inlineStr">
        <is>
          <t xml:space="preserve">ING Everyday direct debit </t>
        </is>
      </c>
    </row>
    <row r="115">
      <c r="B115" s="177" t="n">
        <v>45597</v>
      </c>
      <c r="C115" s="275" t="inlineStr">
        <is>
          <t xml:space="preserve">Inner North Medical Clinic </t>
        </is>
      </c>
      <c r="D115" s="275" t="inlineStr">
        <is>
          <t>Doctor</t>
        </is>
      </c>
      <c r="E115" s="275" t="n">
        <v>104</v>
      </c>
      <c r="F115" s="174" t="inlineStr">
        <is>
          <t xml:space="preserve">ING Everyday direct debit </t>
        </is>
      </c>
    </row>
    <row r="116">
      <c r="B116" s="177" t="n">
        <v>45597</v>
      </c>
      <c r="C116" s="275" t="inlineStr">
        <is>
          <t>Myo</t>
        </is>
      </c>
      <c r="D116" s="275" t="inlineStr">
        <is>
          <t xml:space="preserve">Physical </t>
        </is>
      </c>
      <c r="E116" s="275" t="n">
        <v>110</v>
      </c>
      <c r="F116" s="174" t="inlineStr">
        <is>
          <t xml:space="preserve">ING Everyday direct debit </t>
        </is>
      </c>
    </row>
    <row r="117">
      <c r="B117" s="177" t="n">
        <v>45566</v>
      </c>
      <c r="C117" s="275" t="inlineStr">
        <is>
          <t xml:space="preserve">Optimum Nutrition and Fish Oil </t>
        </is>
      </c>
      <c r="D117" s="275" t="inlineStr">
        <is>
          <t xml:space="preserve">Suppliments </t>
        </is>
      </c>
      <c r="E117" s="275" t="n">
        <v>267</v>
      </c>
      <c r="F117" s="174" t="inlineStr">
        <is>
          <t xml:space="preserve">Amazon </t>
        </is>
      </c>
    </row>
    <row r="118">
      <c r="B118" s="177" t="n">
        <v>45566</v>
      </c>
      <c r="C118" s="275" t="inlineStr">
        <is>
          <t xml:space="preserve">Inner North Medical Clinic - Skin check </t>
        </is>
      </c>
      <c r="D118" s="275" t="inlineStr">
        <is>
          <t>Doctor</t>
        </is>
      </c>
      <c r="E118" s="275" t="n">
        <v>351</v>
      </c>
      <c r="F118" s="174" t="inlineStr">
        <is>
          <t xml:space="preserve">ING Everyday direct debit </t>
        </is>
      </c>
    </row>
    <row r="119">
      <c r="B119" s="177" t="n">
        <v>45536</v>
      </c>
      <c r="C119" s="275" t="inlineStr">
        <is>
          <t>Myo</t>
        </is>
      </c>
      <c r="D119" s="275" t="inlineStr">
        <is>
          <t xml:space="preserve">Physical </t>
        </is>
      </c>
      <c r="E119" s="275" t="n">
        <v>90</v>
      </c>
      <c r="F119" s="174" t="inlineStr">
        <is>
          <t xml:space="preserve">ING Everyday direct debit </t>
        </is>
      </c>
    </row>
    <row r="120">
      <c r="B120" s="177" t="n">
        <v>45962</v>
      </c>
      <c r="C120" s="275" t="inlineStr">
        <is>
          <t xml:space="preserve">I-Herb Suppliments </t>
        </is>
      </c>
      <c r="D120" s="275" t="inlineStr">
        <is>
          <t xml:space="preserve">Suppliments </t>
        </is>
      </c>
      <c r="E120" s="431" t="n">
        <v>105</v>
      </c>
      <c r="F120" s="174" t="inlineStr">
        <is>
          <t>NAB Credit Card</t>
        </is>
      </c>
    </row>
    <row r="121">
      <c r="B121" s="177" t="n">
        <v>45931</v>
      </c>
      <c r="C121" s="275" t="inlineStr">
        <is>
          <t xml:space="preserve">Myo </t>
        </is>
      </c>
      <c r="D121" s="275" t="inlineStr">
        <is>
          <t xml:space="preserve">Doctor </t>
        </is>
      </c>
      <c r="E121" s="431" t="n">
        <v>50</v>
      </c>
      <c r="F121" s="174" t="inlineStr">
        <is>
          <t>NAB Credit Card</t>
        </is>
      </c>
    </row>
    <row r="122">
      <c r="B122" s="177" t="n">
        <v>45931</v>
      </c>
      <c r="C122" s="275" t="inlineStr">
        <is>
          <t xml:space="preserve">Ice bath filters </t>
        </is>
      </c>
      <c r="D122" s="275" t="inlineStr">
        <is>
          <t xml:space="preserve">Other </t>
        </is>
      </c>
      <c r="E122" s="431" t="n">
        <v>55</v>
      </c>
      <c r="F122" s="174" t="inlineStr">
        <is>
          <t>NAB Credit Card</t>
        </is>
      </c>
    </row>
    <row r="123">
      <c r="B123" s="177" t="n">
        <v>45962</v>
      </c>
      <c r="C123" s="275" t="inlineStr">
        <is>
          <t xml:space="preserve">Psycologist </t>
        </is>
      </c>
      <c r="D123" s="275" t="inlineStr">
        <is>
          <t xml:space="preserve">Doctor </t>
        </is>
      </c>
      <c r="E123" s="431" t="n">
        <v>140</v>
      </c>
      <c r="F123" s="174" t="inlineStr">
        <is>
          <t xml:space="preserve">NAB Offset </t>
        </is>
      </c>
    </row>
    <row r="124">
      <c r="B124" s="177" t="n"/>
      <c r="C124" s="275" t="n"/>
      <c r="D124" s="275" t="n"/>
    </row>
    <row r="125" customFormat="1" s="228">
      <c r="B125" s="334" t="n"/>
      <c r="C125" s="230" t="n"/>
      <c r="D125" s="230" t="n"/>
      <c r="E125" s="230" t="n"/>
    </row>
    <row r="126" ht="21" customHeight="1">
      <c r="B126" s="266" t="inlineStr">
        <is>
          <t xml:space="preserve">WORK / CBRE </t>
        </is>
      </c>
      <c r="C126" s="266" t="n"/>
      <c r="D126" s="266" t="n"/>
      <c r="E126" s="266" t="n"/>
      <c r="F126" s="266" t="n"/>
    </row>
    <row r="127">
      <c r="B127" s="196" t="inlineStr">
        <is>
          <t xml:space="preserve">CBRE </t>
        </is>
      </c>
      <c r="C127" s="196" t="n"/>
      <c r="D127" s="196" t="n"/>
      <c r="E127" s="196" t="n"/>
      <c r="F127" s="196" t="n"/>
    </row>
    <row r="128">
      <c r="B128" s="197" t="inlineStr">
        <is>
          <t xml:space="preserve">Date </t>
        </is>
      </c>
      <c r="C128" s="197" t="inlineStr">
        <is>
          <t xml:space="preserve">Item </t>
        </is>
      </c>
      <c r="D128" s="197" t="inlineStr">
        <is>
          <t xml:space="preserve">Subcategory </t>
        </is>
      </c>
      <c r="E128" s="197" t="inlineStr">
        <is>
          <t xml:space="preserve">Cost </t>
        </is>
      </c>
      <c r="F128" s="197" t="inlineStr">
        <is>
          <t xml:space="preserve">Payment Method </t>
        </is>
      </c>
    </row>
    <row r="129">
      <c r="B129" s="244" t="n">
        <v>45809</v>
      </c>
      <c r="C129" s="246" t="inlineStr">
        <is>
          <t xml:space="preserve">Test Colleague Bonus </t>
        </is>
      </c>
      <c r="D129" s="246" t="n"/>
      <c r="E129" s="247" t="n">
        <v>3750</v>
      </c>
      <c r="F129" s="246" t="inlineStr">
        <is>
          <t xml:space="preserve">ING everyday </t>
        </is>
      </c>
    </row>
    <row r="130">
      <c r="B130" s="318" t="n">
        <v>45809</v>
      </c>
      <c r="C130" s="316" t="inlineStr">
        <is>
          <t>Liquorland Mr Test</t>
        </is>
      </c>
      <c r="D130" s="316" t="n"/>
      <c r="E130" s="323" t="n">
        <v>366</v>
      </c>
      <c r="F130" s="316" t="inlineStr">
        <is>
          <t>NAB Credit Card</t>
        </is>
      </c>
    </row>
    <row r="131">
      <c r="B131" s="244" t="n">
        <v>45597</v>
      </c>
      <c r="C131" s="435" t="inlineStr">
        <is>
          <t xml:space="preserve">CBRE Christmas Party </t>
        </is>
      </c>
      <c r="D131" s="435" t="n"/>
      <c r="E131" s="247" t="n">
        <v>500</v>
      </c>
      <c r="F131" s="246" t="inlineStr">
        <is>
          <t xml:space="preserve">ING everyday </t>
        </is>
      </c>
    </row>
    <row r="132">
      <c r="B132" s="318" t="n">
        <v>45536</v>
      </c>
      <c r="C132" s="316" t="inlineStr">
        <is>
          <t xml:space="preserve">Consumer Affairs  - BLA Licence </t>
        </is>
      </c>
      <c r="D132" s="316" t="n"/>
      <c r="E132" s="323" t="n">
        <v>244</v>
      </c>
      <c r="F132" s="316" t="inlineStr">
        <is>
          <t>Nab Credit Old</t>
        </is>
      </c>
    </row>
    <row r="133">
      <c r="B133" s="320" t="n">
        <v>45901</v>
      </c>
      <c r="C133" s="316" t="inlineStr">
        <is>
          <t xml:space="preserve">Consumer Affairs  - BLA Licence </t>
        </is>
      </c>
      <c r="D133" s="228" t="n"/>
      <c r="E133" s="436" t="n">
        <v>244.1</v>
      </c>
      <c r="F133" s="228" t="inlineStr">
        <is>
          <t>NAB Credit Card</t>
        </is>
      </c>
    </row>
    <row r="134">
      <c r="B134" s="320" t="n">
        <v>45931</v>
      </c>
      <c r="C134" s="316" t="inlineStr">
        <is>
          <t xml:space="preserve">CBRE Christmas Party </t>
        </is>
      </c>
      <c r="D134" s="228" t="n"/>
      <c r="E134" s="436" t="n">
        <v>350</v>
      </c>
      <c r="F134" s="228" t="inlineStr">
        <is>
          <t xml:space="preserve">Friend Four </t>
        </is>
      </c>
    </row>
    <row r="135"/>
    <row r="136" ht="21" customHeight="1">
      <c r="B136" s="266" t="inlineStr">
        <is>
          <t xml:space="preserve">DONATIONS </t>
        </is>
      </c>
      <c r="C136" s="266" t="n"/>
      <c r="D136" s="266" t="n"/>
      <c r="E136" s="266" t="n"/>
      <c r="F136" s="266" t="n"/>
    </row>
    <row r="137">
      <c r="B137" s="196" t="inlineStr">
        <is>
          <t xml:space="preserve">Donations </t>
        </is>
      </c>
      <c r="C137" s="196" t="n"/>
      <c r="D137" s="196" t="n"/>
      <c r="E137" s="196" t="n"/>
      <c r="F137" s="196" t="n"/>
    </row>
    <row r="138">
      <c r="B138" s="197" t="inlineStr">
        <is>
          <t xml:space="preserve">Date </t>
        </is>
      </c>
      <c r="C138" s="197" t="inlineStr">
        <is>
          <t xml:space="preserve">Item </t>
        </is>
      </c>
      <c r="D138" s="197" t="n"/>
      <c r="E138" s="197" t="inlineStr">
        <is>
          <t xml:space="preserve">Cost </t>
        </is>
      </c>
      <c r="F138" s="197" t="inlineStr">
        <is>
          <t xml:space="preserve">Payment Method </t>
        </is>
      </c>
    </row>
    <row r="139">
      <c r="B139" s="208" t="n">
        <v>45717</v>
      </c>
      <c r="C139" s="199" t="inlineStr">
        <is>
          <t xml:space="preserve">Peter Mac Cancer Foundarion </t>
        </is>
      </c>
      <c r="D139" s="199" t="n"/>
      <c r="E139" s="200" t="n">
        <v>105</v>
      </c>
      <c r="F139" s="199" t="inlineStr">
        <is>
          <t xml:space="preserve">Virgin Go </t>
        </is>
      </c>
    </row>
    <row r="140">
      <c r="B140" s="250" t="n">
        <v>45809</v>
      </c>
      <c r="C140" s="251" t="inlineStr">
        <is>
          <t xml:space="preserve">Donation, Very Special Kids </t>
        </is>
      </c>
      <c r="D140" s="251" t="n"/>
      <c r="E140" s="252" t="n">
        <v>600</v>
      </c>
      <c r="F140" s="251" t="inlineStr">
        <is>
          <t>NAB Credit Card</t>
        </is>
      </c>
    </row>
    <row r="141">
      <c r="B141" s="180" t="n">
        <v>45627</v>
      </c>
      <c r="C141" s="174" t="inlineStr">
        <is>
          <t>Friend Twelve Go Fund Me</t>
        </is>
      </c>
      <c r="E141" s="437" t="n">
        <v>350</v>
      </c>
      <c r="F141" s="174" t="inlineStr">
        <is>
          <t xml:space="preserve">ING </t>
        </is>
      </c>
    </row>
    <row r="142"/>
    <row r="143" ht="21" customHeight="1">
      <c r="B143" s="266" t="inlineStr">
        <is>
          <t xml:space="preserve">GIFTS </t>
        </is>
      </c>
      <c r="C143" s="266" t="n"/>
      <c r="D143" s="266" t="n"/>
      <c r="E143" s="266" t="n"/>
      <c r="F143" s="266" t="n"/>
    </row>
    <row r="144">
      <c r="B144" s="196" t="inlineStr">
        <is>
          <t>Gifts</t>
        </is>
      </c>
      <c r="C144" s="196" t="n"/>
      <c r="D144" s="196" t="n"/>
      <c r="E144" s="196" t="n"/>
      <c r="F144" s="196" t="n"/>
    </row>
    <row r="145">
      <c r="B145" s="197" t="inlineStr">
        <is>
          <t xml:space="preserve">Date </t>
        </is>
      </c>
      <c r="C145" s="197" t="inlineStr">
        <is>
          <t xml:space="preserve">Item </t>
        </is>
      </c>
      <c r="D145" s="197" t="n"/>
      <c r="E145" s="197" t="inlineStr">
        <is>
          <t xml:space="preserve">Cost </t>
        </is>
      </c>
      <c r="F145" s="197" t="inlineStr">
        <is>
          <t xml:space="preserve">Payment Method </t>
        </is>
      </c>
    </row>
    <row r="146">
      <c r="B146" s="336" t="n">
        <v>46023</v>
      </c>
      <c r="C146" s="197" t="inlineStr">
        <is>
          <t>Mums 60th (Cash)</t>
        </is>
      </c>
      <c r="D146" s="197" t="n"/>
      <c r="E146" s="197" t="n">
        <v>200</v>
      </c>
      <c r="F146" s="197" t="inlineStr">
        <is>
          <t xml:space="preserve">Cash </t>
        </is>
      </c>
    </row>
    <row r="147">
      <c r="B147" s="210" t="n">
        <v>45627</v>
      </c>
      <c r="C147" s="199" t="inlineStr">
        <is>
          <t xml:space="preserve">Duty Free Gift Test Spouse's parents </t>
        </is>
      </c>
      <c r="D147" s="199" t="n"/>
      <c r="E147" s="200" t="n">
        <v>150</v>
      </c>
      <c r="F147" s="199" t="inlineStr">
        <is>
          <t xml:space="preserve">NAB Credit </t>
        </is>
      </c>
    </row>
    <row r="148">
      <c r="B148" s="211" t="n">
        <v>45870</v>
      </c>
      <c r="C148" s="202" t="inlineStr">
        <is>
          <t xml:space="preserve">Friend Five Gift 30th </t>
        </is>
      </c>
      <c r="D148" s="202" t="n"/>
      <c r="E148" s="220" t="n">
        <v>1000</v>
      </c>
      <c r="F148" s="202" t="inlineStr">
        <is>
          <t xml:space="preserve">ING Everyday </t>
        </is>
      </c>
    </row>
    <row r="149">
      <c r="B149" s="212" t="n">
        <v>45505</v>
      </c>
      <c r="C149" s="205" t="inlineStr">
        <is>
          <t xml:space="preserve">Friend Thirteen Gift 30th </t>
        </is>
      </c>
      <c r="D149" s="205" t="n"/>
      <c r="E149" s="223" t="n">
        <v>100</v>
      </c>
      <c r="F149" s="205" t="inlineStr">
        <is>
          <t xml:space="preserve">ING Everyday </t>
        </is>
      </c>
    </row>
    <row r="150">
      <c r="B150" s="211" t="n">
        <v>45505</v>
      </c>
      <c r="C150" s="202" t="inlineStr">
        <is>
          <t xml:space="preserve">Friend Fourteen Present 30th </t>
        </is>
      </c>
      <c r="D150" s="202" t="n"/>
      <c r="E150" s="220" t="n">
        <v>100</v>
      </c>
      <c r="F150" s="202" t="inlineStr">
        <is>
          <t xml:space="preserve">ING Everyday </t>
        </is>
      </c>
    </row>
    <row r="151">
      <c r="B151" s="212" t="n">
        <v>45536</v>
      </c>
      <c r="C151" s="205" t="inlineStr">
        <is>
          <t xml:space="preserve">Blanc Spa Gift [initials redacted] </t>
        </is>
      </c>
      <c r="D151" s="205" t="n"/>
      <c r="E151" s="223" t="n">
        <v>300</v>
      </c>
      <c r="F151" s="205" t="inlineStr">
        <is>
          <t>Nab Credit old</t>
        </is>
      </c>
    </row>
    <row r="152">
      <c r="B152" s="211" t="n">
        <v>45566</v>
      </c>
      <c r="C152" s="202" t="inlineStr">
        <is>
          <t xml:space="preserve">Apple Gift Friend Two 30th </t>
        </is>
      </c>
      <c r="D152" s="202" t="n"/>
      <c r="E152" s="220" t="n">
        <v>150</v>
      </c>
      <c r="F152" s="202" t="n"/>
    </row>
    <row r="153">
      <c r="B153" s="212" t="n">
        <v>45566</v>
      </c>
      <c r="C153" s="205" t="inlineStr">
        <is>
          <t xml:space="preserve">Pinic Set Friend Sixteen Gift 30th </t>
        </is>
      </c>
      <c r="D153" s="205" t="n"/>
      <c r="E153" s="223" t="n">
        <v>100</v>
      </c>
      <c r="F153" s="205" t="n"/>
    </row>
    <row r="154">
      <c r="B154" s="211" t="n">
        <v>45748</v>
      </c>
      <c r="C154" s="202" t="inlineStr">
        <is>
          <t xml:space="preserve">Friend Eight &amp; Friend Nine's Wedding </t>
        </is>
      </c>
      <c r="D154" s="202" t="n"/>
      <c r="E154" s="220" t="n">
        <v>250</v>
      </c>
      <c r="F154" s="202" t="inlineStr">
        <is>
          <t xml:space="preserve">Cash </t>
        </is>
      </c>
    </row>
    <row r="155">
      <c r="B155" s="212" t="n">
        <v>45597</v>
      </c>
      <c r="C155" s="205" t="inlineStr">
        <is>
          <t xml:space="preserve">Friend Ten and Friend Eleven Wedding </t>
        </is>
      </c>
      <c r="D155" s="205" t="n"/>
      <c r="E155" s="223" t="n">
        <v>200</v>
      </c>
      <c r="F155" s="205" t="inlineStr">
        <is>
          <t xml:space="preserve">Cash </t>
        </is>
      </c>
    </row>
    <row r="156">
      <c r="B156" s="211" t="n">
        <v>45809</v>
      </c>
      <c r="C156" s="202" t="inlineStr">
        <is>
          <t xml:space="preserve">Platapus Shoes - present Service Provider Four Baby </t>
        </is>
      </c>
      <c r="D156" s="202" t="n"/>
      <c r="E156" s="220" t="n">
        <v>64</v>
      </c>
      <c r="F156" s="202" t="inlineStr">
        <is>
          <t xml:space="preserve">Nab Credit </t>
        </is>
      </c>
    </row>
    <row r="157">
      <c r="B157" s="212" t="n">
        <v>45627</v>
      </c>
      <c r="C157" s="205" t="inlineStr">
        <is>
          <t xml:space="preserve">Test Spouse Friend Ten </t>
        </is>
      </c>
      <c r="D157" s="205" t="n"/>
      <c r="E157" s="223" t="n">
        <v>1500</v>
      </c>
      <c r="F157" s="205" t="inlineStr">
        <is>
          <t xml:space="preserve">Nab Credit </t>
        </is>
      </c>
    </row>
    <row r="158">
      <c r="B158" s="213" t="n">
        <v>45566</v>
      </c>
      <c r="C158" s="206" t="inlineStr">
        <is>
          <t xml:space="preserve">Dad Golf </t>
        </is>
      </c>
      <c r="D158" s="206" t="n"/>
      <c r="E158" s="265" t="n">
        <v>195</v>
      </c>
      <c r="F158" s="206" t="n"/>
    </row>
    <row r="159">
      <c r="B159" s="211" t="n">
        <v>45931</v>
      </c>
      <c r="C159" s="202" t="inlineStr">
        <is>
          <t xml:space="preserve">Friend Seventeen Wedding </t>
        </is>
      </c>
      <c r="D159" s="202" t="n"/>
      <c r="E159" s="220" t="n">
        <v>200</v>
      </c>
      <c r="F159" s="202" t="inlineStr">
        <is>
          <t xml:space="preserve">Cash </t>
        </is>
      </c>
    </row>
    <row r="160">
      <c r="B160" s="211" t="n">
        <v>45931</v>
      </c>
      <c r="C160" s="202" t="inlineStr">
        <is>
          <t xml:space="preserve">Friend Two 31st </t>
        </is>
      </c>
      <c r="D160" s="202" t="n"/>
      <c r="E160" s="220" t="n">
        <v>50</v>
      </c>
      <c r="F160" s="202" t="inlineStr">
        <is>
          <t xml:space="preserve">NAB Credit </t>
        </is>
      </c>
    </row>
    <row r="161" ht="15.6" customHeight="1">
      <c r="B161" s="211" t="n">
        <v>45962</v>
      </c>
      <c r="C161" s="202" t="inlineStr">
        <is>
          <t xml:space="preserve">Friend One - Whisky </t>
        </is>
      </c>
      <c r="D161" s="202" t="n"/>
      <c r="E161" s="220" t="n">
        <v>220</v>
      </c>
      <c r="F161" s="202" t="inlineStr">
        <is>
          <t xml:space="preserve">NAB Credit </t>
        </is>
      </c>
    </row>
    <row r="162" ht="15.6" customHeight="1">
      <c r="B162" s="211" t="n">
        <v>45931</v>
      </c>
      <c r="C162" s="202" t="inlineStr">
        <is>
          <t xml:space="preserve">Friend Sixteen's 31st B'day </t>
        </is>
      </c>
      <c r="D162" s="202" t="n"/>
      <c r="E162" s="220" t="n">
        <v>100</v>
      </c>
      <c r="F162" s="202" t="inlineStr">
        <is>
          <t xml:space="preserve">NAB Credit </t>
        </is>
      </c>
    </row>
    <row r="163"/>
    <row r="164" ht="21" customHeight="1">
      <c r="B164" s="266" t="inlineStr">
        <is>
          <t xml:space="preserve">TEST SPOUSE VISA </t>
        </is>
      </c>
      <c r="C164" s="266" t="n"/>
      <c r="D164" s="266" t="n"/>
      <c r="E164" s="266" t="n"/>
      <c r="F164" s="266" t="n"/>
    </row>
    <row r="165">
      <c r="B165" s="196" t="inlineStr">
        <is>
          <t xml:space="preserve">Test Spouse VISA </t>
        </is>
      </c>
      <c r="C165" s="196" t="n"/>
      <c r="D165" s="196" t="n"/>
      <c r="E165" s="196" t="n"/>
      <c r="F165" s="196" t="n"/>
    </row>
    <row r="166">
      <c r="B166" s="197" t="inlineStr">
        <is>
          <t xml:space="preserve">Date </t>
        </is>
      </c>
      <c r="C166" s="197" t="inlineStr">
        <is>
          <t xml:space="preserve">Item </t>
        </is>
      </c>
      <c r="D166" s="197" t="n"/>
      <c r="E166" s="197" t="inlineStr">
        <is>
          <t xml:space="preserve">Cost </t>
        </is>
      </c>
      <c r="F166" s="197" t="inlineStr">
        <is>
          <t xml:space="preserve">Payment Method </t>
        </is>
      </c>
    </row>
    <row r="167">
      <c r="B167" s="208" t="n">
        <v>45658</v>
      </c>
      <c r="C167" s="199" t="inlineStr">
        <is>
          <t>Registry of births, deaths and Marrages (Doc for Test Spouse)</t>
        </is>
      </c>
      <c r="D167" s="199" t="n"/>
      <c r="E167" s="200" t="n">
        <v>317.5</v>
      </c>
      <c r="F167" s="199" t="n"/>
    </row>
    <row r="168">
      <c r="B168" s="201" t="n">
        <v>45778</v>
      </c>
      <c r="C168" s="202" t="inlineStr">
        <is>
          <t xml:space="preserve">Home Affairs </t>
        </is>
      </c>
      <c r="D168" s="202" t="n"/>
      <c r="E168" s="220" t="n">
        <v>197</v>
      </c>
      <c r="F168" s="202" t="n"/>
    </row>
    <row r="169">
      <c r="B169" s="214" t="n">
        <v>45778</v>
      </c>
      <c r="C169" s="205" t="inlineStr">
        <is>
          <t xml:space="preserve">Home Affairs </t>
        </is>
      </c>
      <c r="D169" s="205" t="n"/>
      <c r="E169" s="223" t="n">
        <v>197</v>
      </c>
      <c r="F169" s="205" t="n"/>
    </row>
    <row r="170">
      <c r="B170" s="201" t="n">
        <v>45717</v>
      </c>
      <c r="C170" s="202" t="inlineStr">
        <is>
          <t xml:space="preserve">VISA Cost </t>
        </is>
      </c>
      <c r="D170" s="202" t="n"/>
      <c r="E170" s="220" t="n">
        <v>11566</v>
      </c>
      <c r="F170" s="202" t="n"/>
    </row>
    <row r="171">
      <c r="B171" s="215" t="n">
        <v>45474</v>
      </c>
      <c r="C171" s="216" t="inlineStr">
        <is>
          <t xml:space="preserve">Solicitor Fee </t>
        </is>
      </c>
      <c r="D171" s="216" t="n"/>
      <c r="E171" s="217" t="n">
        <v>4132</v>
      </c>
      <c r="F171" s="216" t="n"/>
    </row>
    <row r="172"/>
    <row r="173" ht="21" customHeight="1">
      <c r="B173" s="266" t="inlineStr">
        <is>
          <t xml:space="preserve">ACCOUNTING </t>
        </is>
      </c>
      <c r="C173" s="266" t="n"/>
      <c r="D173" s="266" t="n"/>
      <c r="E173" s="266" t="n"/>
      <c r="F173" s="266" t="n"/>
    </row>
    <row r="174">
      <c r="B174" s="196" t="inlineStr">
        <is>
          <t xml:space="preserve">Accounting </t>
        </is>
      </c>
      <c r="C174" s="196" t="n"/>
      <c r="D174" s="196" t="n"/>
      <c r="E174" s="196" t="n"/>
      <c r="F174" s="196" t="n"/>
    </row>
    <row r="175">
      <c r="B175" s="197" t="inlineStr">
        <is>
          <t xml:space="preserve">Date </t>
        </is>
      </c>
      <c r="C175" s="197" t="inlineStr">
        <is>
          <t xml:space="preserve">Item </t>
        </is>
      </c>
      <c r="D175" s="197" t="n"/>
      <c r="E175" s="197" t="inlineStr">
        <is>
          <t xml:space="preserve">Cost </t>
        </is>
      </c>
      <c r="F175" s="197" t="inlineStr">
        <is>
          <t xml:space="preserve">Payment Method </t>
        </is>
      </c>
    </row>
    <row r="176">
      <c r="B176" s="208" t="n">
        <v>45717</v>
      </c>
      <c r="C176" s="199" t="inlineStr">
        <is>
          <t xml:space="preserve">State Revenue Office Assessing </t>
        </is>
      </c>
      <c r="D176" s="199" t="n"/>
      <c r="E176" s="438" t="n">
        <v>200</v>
      </c>
      <c r="F176" s="199" t="inlineStr">
        <is>
          <t xml:space="preserve">Virgin </t>
        </is>
      </c>
    </row>
    <row r="177">
      <c r="B177" s="201" t="n">
        <v>45658</v>
      </c>
      <c r="C177" s="202" t="inlineStr">
        <is>
          <t xml:space="preserve">ASIC Payment </t>
        </is>
      </c>
      <c r="D177" s="202" t="n"/>
      <c r="E177" s="432" t="n">
        <v>321</v>
      </c>
      <c r="F177" s="202" t="inlineStr">
        <is>
          <t xml:space="preserve">ING Everyday </t>
        </is>
      </c>
    </row>
    <row r="178">
      <c r="B178" s="253" t="n">
        <v>45658</v>
      </c>
      <c r="C178" s="254" t="inlineStr">
        <is>
          <t xml:space="preserve">Invoice Payment (Elio?) </t>
        </is>
      </c>
      <c r="D178" s="254" t="n"/>
      <c r="E178" s="439" t="n">
        <v>176</v>
      </c>
      <c r="F178" s="254" t="inlineStr">
        <is>
          <t xml:space="preserve">ING Everyday </t>
        </is>
      </c>
    </row>
    <row r="179"/>
    <row r="180"/>
    <row r="181" ht="21" customHeight="1">
      <c r="B181" s="266" t="inlineStr">
        <is>
          <t xml:space="preserve">ELECTRONICS AND TECHNOLOGY </t>
        </is>
      </c>
      <c r="C181" s="266" t="n"/>
      <c r="D181" s="266" t="n"/>
      <c r="E181" s="266" t="n"/>
      <c r="F181" s="266" t="n"/>
    </row>
    <row r="182">
      <c r="B182" s="181" t="inlineStr">
        <is>
          <t xml:space="preserve">Electronics &amp; Technology </t>
        </is>
      </c>
      <c r="E182" s="431" t="n"/>
    </row>
    <row r="183">
      <c r="B183" s="174" t="inlineStr">
        <is>
          <t xml:space="preserve">Date </t>
        </is>
      </c>
      <c r="C183" s="174" t="inlineStr">
        <is>
          <t xml:space="preserve">Item </t>
        </is>
      </c>
      <c r="D183" s="174" t="inlineStr">
        <is>
          <t xml:space="preserve">Sub Item </t>
        </is>
      </c>
      <c r="E183" s="174" t="inlineStr">
        <is>
          <t xml:space="preserve">Cost </t>
        </is>
      </c>
      <c r="F183" s="174" t="inlineStr">
        <is>
          <t xml:space="preserve">Payment Method </t>
        </is>
      </c>
    </row>
    <row r="184">
      <c r="B184" s="256" t="n">
        <v>45505</v>
      </c>
      <c r="C184" s="257" t="inlineStr">
        <is>
          <t xml:space="preserve">Surface Pro </t>
        </is>
      </c>
      <c r="D184" s="257" t="inlineStr">
        <is>
          <t xml:space="preserve">Work </t>
        </is>
      </c>
      <c r="E184" s="258" t="n">
        <v>3704</v>
      </c>
      <c r="F184" s="257" t="inlineStr">
        <is>
          <t xml:space="preserve">Westpac Credit Card </t>
        </is>
      </c>
    </row>
    <row r="185">
      <c r="B185" s="256" t="n">
        <v>45505</v>
      </c>
      <c r="C185" s="257" t="inlineStr">
        <is>
          <t xml:space="preserve">Surface Pro Cover </t>
        </is>
      </c>
      <c r="D185" s="257" t="inlineStr">
        <is>
          <t xml:space="preserve">Work </t>
        </is>
      </c>
      <c r="E185" s="258" t="n">
        <v>51</v>
      </c>
      <c r="F185" s="257" t="inlineStr">
        <is>
          <t xml:space="preserve">Amazon </t>
        </is>
      </c>
    </row>
    <row r="186">
      <c r="B186" s="256" t="n">
        <v>45536</v>
      </c>
      <c r="C186" s="257" t="inlineStr">
        <is>
          <t xml:space="preserve">USB C headphones and apple cable </t>
        </is>
      </c>
      <c r="D186" s="257" t="inlineStr">
        <is>
          <t xml:space="preserve">Work </t>
        </is>
      </c>
      <c r="E186" s="258" t="n">
        <v>18.97</v>
      </c>
      <c r="F186" s="257" t="inlineStr">
        <is>
          <t>Amazon</t>
        </is>
      </c>
    </row>
    <row r="187">
      <c r="B187" s="256" t="n">
        <v>45566</v>
      </c>
      <c r="C187" s="257" t="inlineStr">
        <is>
          <t xml:space="preserve">Apple </t>
        </is>
      </c>
      <c r="D187" s="257" t="inlineStr">
        <is>
          <t>?</t>
        </is>
      </c>
      <c r="E187" s="258" t="n">
        <v>150</v>
      </c>
      <c r="F187" s="257" t="inlineStr">
        <is>
          <t xml:space="preserve">NAB Credit </t>
        </is>
      </c>
    </row>
    <row r="188">
      <c r="B188" s="256" t="n">
        <v>45658</v>
      </c>
      <c r="C188" s="257" t="inlineStr">
        <is>
          <t>Ludos USB Headphones + notebooks</t>
        </is>
      </c>
      <c r="D188" s="257" t="inlineStr">
        <is>
          <t xml:space="preserve">Work </t>
        </is>
      </c>
      <c r="E188" s="258" t="n">
        <v>92</v>
      </c>
      <c r="F188" s="257" t="inlineStr">
        <is>
          <t xml:space="preserve">Amazon </t>
        </is>
      </c>
    </row>
    <row r="189">
      <c r="B189" s="256" t="n">
        <v>45658</v>
      </c>
      <c r="C189" s="257" t="inlineStr">
        <is>
          <t xml:space="preserve">Large Erase Calander Wall </t>
        </is>
      </c>
      <c r="D189" s="257" t="inlineStr">
        <is>
          <t xml:space="preserve">Work </t>
        </is>
      </c>
      <c r="E189" s="258" t="n">
        <v>48</v>
      </c>
      <c r="F189" s="257" t="inlineStr">
        <is>
          <t xml:space="preserve">Amazon </t>
        </is>
      </c>
    </row>
    <row r="190">
      <c r="B190" s="256" t="n">
        <v>45689</v>
      </c>
      <c r="C190" s="257" t="inlineStr">
        <is>
          <t xml:space="preserve">UGREEN USB C to HDMI </t>
        </is>
      </c>
      <c r="D190" s="257" t="inlineStr">
        <is>
          <t xml:space="preserve">Work </t>
        </is>
      </c>
      <c r="E190" s="258" t="n">
        <v>18.17</v>
      </c>
      <c r="F190" s="257" t="inlineStr">
        <is>
          <t xml:space="preserve">Amazon </t>
        </is>
      </c>
    </row>
    <row r="191">
      <c r="B191" s="256" t="n">
        <v>45689</v>
      </c>
      <c r="C191" s="257" t="inlineStr">
        <is>
          <t xml:space="preserve">Desk Organiser Tray </t>
        </is>
      </c>
      <c r="D191" s="257" t="inlineStr">
        <is>
          <t xml:space="preserve">Work </t>
        </is>
      </c>
      <c r="E191" s="258" t="n">
        <v>31.44</v>
      </c>
      <c r="F191" s="257" t="inlineStr">
        <is>
          <t xml:space="preserve">Amazon </t>
        </is>
      </c>
    </row>
    <row r="192">
      <c r="B192" s="256" t="n">
        <v>45689</v>
      </c>
      <c r="C192" s="257" t="inlineStr">
        <is>
          <t>UGREEB USB C to HDMI</t>
        </is>
      </c>
      <c r="D192" s="257" t="inlineStr">
        <is>
          <t xml:space="preserve">Work </t>
        </is>
      </c>
      <c r="E192" s="258" t="n">
        <v>18</v>
      </c>
      <c r="F192" s="257" t="inlineStr">
        <is>
          <t xml:space="preserve">Amazon </t>
        </is>
      </c>
    </row>
    <row r="193">
      <c r="B193" s="256" t="n">
        <v>45748</v>
      </c>
      <c r="C193" s="257" t="inlineStr">
        <is>
          <t xml:space="preserve">Ludos Headphones </t>
        </is>
      </c>
      <c r="D193" s="257" t="inlineStr">
        <is>
          <t xml:space="preserve">Work </t>
        </is>
      </c>
      <c r="E193" s="258" t="n">
        <v>15</v>
      </c>
      <c r="F193" s="257" t="inlineStr">
        <is>
          <t>Amazon</t>
        </is>
      </c>
    </row>
    <row r="194">
      <c r="B194" s="256" t="n">
        <v>45809</v>
      </c>
      <c r="C194" s="257" t="inlineStr">
        <is>
          <t xml:space="preserve">Selling buildings maximising profits in CRE </t>
        </is>
      </c>
      <c r="D194" s="257" t="inlineStr">
        <is>
          <t xml:space="preserve">Work </t>
        </is>
      </c>
      <c r="E194" s="258" t="n">
        <v>51</v>
      </c>
      <c r="F194" s="257" t="inlineStr">
        <is>
          <t>Amazon</t>
        </is>
      </c>
    </row>
    <row r="195">
      <c r="B195" s="256" t="n">
        <v>45809</v>
      </c>
      <c r="C195" s="257" t="inlineStr">
        <is>
          <t xml:space="preserve">HP Wireless mouse </t>
        </is>
      </c>
      <c r="D195" s="257" t="inlineStr">
        <is>
          <t xml:space="preserve">Work </t>
        </is>
      </c>
      <c r="E195" s="258" t="n">
        <v>34</v>
      </c>
      <c r="F195" s="257" t="inlineStr">
        <is>
          <t>Amazon</t>
        </is>
      </c>
    </row>
    <row r="196">
      <c r="B196" s="256" t="n">
        <v>45809</v>
      </c>
      <c r="C196" s="257" t="inlineStr">
        <is>
          <t xml:space="preserve">USB C headphones and apple cable </t>
        </is>
      </c>
      <c r="D196" s="257" t="inlineStr">
        <is>
          <t xml:space="preserve">Work </t>
        </is>
      </c>
      <c r="E196" s="258" t="n">
        <v>51</v>
      </c>
      <c r="F196" s="257" t="inlineStr">
        <is>
          <t>Amazon</t>
        </is>
      </c>
    </row>
    <row r="197">
      <c r="B197" s="256" t="n">
        <v>45839</v>
      </c>
      <c r="C197" s="257" t="inlineStr">
        <is>
          <t xml:space="preserve">Ludos USB Cheadphones x2 </t>
        </is>
      </c>
      <c r="D197" s="257" t="inlineStr">
        <is>
          <t xml:space="preserve">Work </t>
        </is>
      </c>
      <c r="E197" s="258" t="n">
        <v>37</v>
      </c>
      <c r="F197" s="257" t="inlineStr">
        <is>
          <t>Amazon</t>
        </is>
      </c>
    </row>
    <row r="198">
      <c r="B198" s="256" t="n">
        <v>45839</v>
      </c>
      <c r="C198" s="257" t="inlineStr">
        <is>
          <t>Ludos USB Cheadphones x1</t>
        </is>
      </c>
      <c r="D198" s="257" t="inlineStr">
        <is>
          <t xml:space="preserve">Work </t>
        </is>
      </c>
      <c r="E198" s="258" t="n">
        <v>15</v>
      </c>
      <c r="F198" s="257" t="inlineStr">
        <is>
          <t>Amazon</t>
        </is>
      </c>
    </row>
    <row r="199">
      <c r="B199" s="256" t="n">
        <v>45870</v>
      </c>
      <c r="C199" s="257" t="inlineStr">
        <is>
          <t xml:space="preserve">Nimbot Label Maker </t>
        </is>
      </c>
      <c r="D199" s="257" t="inlineStr">
        <is>
          <t xml:space="preserve">Work </t>
        </is>
      </c>
      <c r="E199" s="258" t="n">
        <v>32</v>
      </c>
      <c r="F199" s="257" t="inlineStr">
        <is>
          <t>Amazon</t>
        </is>
      </c>
    </row>
    <row r="200">
      <c r="B200" s="256" t="n">
        <v>45901</v>
      </c>
      <c r="C200" s="257" t="inlineStr">
        <is>
          <t xml:space="preserve">Iphone Pro Max 17 and Protector </t>
        </is>
      </c>
      <c r="D200" s="257" t="inlineStr">
        <is>
          <t xml:space="preserve">Work </t>
        </is>
      </c>
      <c r="E200" s="258" t="n">
        <v>2657</v>
      </c>
      <c r="F200" s="257" t="inlineStr">
        <is>
          <t xml:space="preserve">NAB Credit </t>
        </is>
      </c>
    </row>
    <row r="201">
      <c r="B201" s="256" t="n">
        <v>45901</v>
      </c>
      <c r="C201" s="257" t="inlineStr">
        <is>
          <t xml:space="preserve">Quad-lock </t>
        </is>
      </c>
      <c r="D201" s="257" t="inlineStr">
        <is>
          <t xml:space="preserve">Work </t>
        </is>
      </c>
      <c r="E201" s="258" t="n">
        <v>63</v>
      </c>
      <c r="F201" s="257" t="inlineStr">
        <is>
          <t xml:space="preserve">NAB Credit </t>
        </is>
      </c>
    </row>
    <row r="202">
      <c r="B202" s="256" t="n">
        <v>45901</v>
      </c>
      <c r="C202" s="257" t="inlineStr">
        <is>
          <t xml:space="preserve">Apple Wireless Headphones </t>
        </is>
      </c>
      <c r="D202" s="257" t="inlineStr">
        <is>
          <t xml:space="preserve">Work </t>
        </is>
      </c>
      <c r="E202" s="440" t="n">
        <v>429</v>
      </c>
      <c r="F202" s="257" t="inlineStr">
        <is>
          <t xml:space="preserve">NAB Offset </t>
        </is>
      </c>
    </row>
    <row r="203">
      <c r="B203" s="256" t="n">
        <v>45931</v>
      </c>
      <c r="C203" s="257" t="inlineStr">
        <is>
          <t xml:space="preserve">Microsoft Applications -Surface Pro </t>
        </is>
      </c>
      <c r="D203" s="257" t="inlineStr">
        <is>
          <t xml:space="preserve">Work </t>
        </is>
      </c>
      <c r="E203" s="440" t="n">
        <v>159</v>
      </c>
      <c r="F203" s="257" t="inlineStr">
        <is>
          <t xml:space="preserve">NAB Credit </t>
        </is>
      </c>
    </row>
    <row r="204">
      <c r="B204" s="335" t="n"/>
      <c r="C204" s="228" t="n"/>
      <c r="D204" s="228" t="n"/>
      <c r="E204" s="230" t="n"/>
      <c r="F204" s="228" t="n"/>
    </row>
    <row r="205">
      <c r="B205" s="335" t="n"/>
      <c r="C205" s="228" t="n"/>
      <c r="D205" s="228" t="n"/>
      <c r="E205" s="230" t="n"/>
      <c r="F205" s="228" t="n"/>
    </row>
    <row r="206" ht="21" customHeight="1">
      <c r="B206" s="266" t="inlineStr">
        <is>
          <t xml:space="preserve">RESTURANTS AND TAKEAWAY </t>
        </is>
      </c>
      <c r="C206" s="267" t="n"/>
      <c r="D206" s="267" t="n"/>
      <c r="E206" s="270" t="n"/>
      <c r="F206" s="267" t="n"/>
    </row>
    <row r="207">
      <c r="B207" s="196" t="inlineStr">
        <is>
          <t xml:space="preserve">Resturants and takeaway </t>
        </is>
      </c>
      <c r="C207" s="196" t="n"/>
      <c r="D207" s="196" t="n"/>
      <c r="E207" s="196" t="n"/>
      <c r="F207" s="196" t="n"/>
    </row>
    <row r="208">
      <c r="B208" s="174" t="inlineStr">
        <is>
          <t xml:space="preserve">Date </t>
        </is>
      </c>
      <c r="C208" s="174" t="inlineStr">
        <is>
          <t xml:space="preserve">Event </t>
        </is>
      </c>
      <c r="D208" s="174" t="inlineStr">
        <is>
          <t xml:space="preserve">Sub Category </t>
        </is>
      </c>
      <c r="E208" s="174" t="inlineStr">
        <is>
          <t xml:space="preserve">Cost </t>
        </is>
      </c>
      <c r="F208" s="174" t="inlineStr">
        <is>
          <t xml:space="preserve">Payment Method </t>
        </is>
      </c>
    </row>
    <row r="209">
      <c r="B209" s="180" t="n">
        <v>45901</v>
      </c>
      <c r="C209" s="174" t="inlineStr">
        <is>
          <t xml:space="preserve">Grill Americano , Friend Seven / Friend Eight </t>
        </is>
      </c>
      <c r="D209" s="174" t="inlineStr">
        <is>
          <t xml:space="preserve">Friends </t>
        </is>
      </c>
      <c r="E209" s="275" t="n">
        <v>175</v>
      </c>
      <c r="F209" s="174" t="inlineStr">
        <is>
          <t xml:space="preserve">NAB Credit Card </t>
        </is>
      </c>
    </row>
    <row r="210">
      <c r="B210" s="180" t="n">
        <v>45901</v>
      </c>
      <c r="C210" s="174" t="inlineStr">
        <is>
          <t xml:space="preserve">Tacoya Japenese </t>
        </is>
      </c>
      <c r="D210" s="174" t="inlineStr">
        <is>
          <t xml:space="preserve">Test Spouse </t>
        </is>
      </c>
      <c r="E210" s="275" t="n">
        <v>70</v>
      </c>
      <c r="F210" s="174" t="inlineStr">
        <is>
          <t>NAB Credit Card</t>
        </is>
      </c>
    </row>
    <row r="211">
      <c r="B211" s="180" t="n">
        <v>45901</v>
      </c>
      <c r="C211" s="174" t="inlineStr">
        <is>
          <t xml:space="preserve">Brico - Resturant Friend Seven </t>
        </is>
      </c>
      <c r="D211" s="174" t="inlineStr">
        <is>
          <t xml:space="preserve">Friends </t>
        </is>
      </c>
      <c r="E211" s="275" t="n">
        <v>404</v>
      </c>
      <c r="F211" s="275" t="inlineStr">
        <is>
          <t xml:space="preserve">NAB Credi Card </t>
        </is>
      </c>
    </row>
    <row r="212">
      <c r="B212" s="180" t="n">
        <v>45870</v>
      </c>
      <c r="C212" s="174" t="inlineStr">
        <is>
          <t xml:space="preserve">Friend Three Wet the head lunch </t>
        </is>
      </c>
      <c r="D212" s="174" t="inlineStr">
        <is>
          <t xml:space="preserve">Friends </t>
        </is>
      </c>
      <c r="E212" s="275" t="n">
        <v>135</v>
      </c>
      <c r="F212" s="174" t="inlineStr">
        <is>
          <t xml:space="preserve">NAB Offset </t>
        </is>
      </c>
    </row>
    <row r="213">
      <c r="B213" s="180" t="n">
        <v>45870</v>
      </c>
      <c r="C213" s="174" t="inlineStr">
        <is>
          <t xml:space="preserve">Kura Resturant Test Spouse </t>
        </is>
      </c>
      <c r="D213" s="174" t="inlineStr">
        <is>
          <t xml:space="preserve">Test Spouse </t>
        </is>
      </c>
      <c r="E213" s="275" t="n">
        <v>245</v>
      </c>
      <c r="F213" s="275" t="inlineStr">
        <is>
          <t xml:space="preserve">Nab Credit Card </t>
        </is>
      </c>
    </row>
    <row r="214">
      <c r="B214" s="180" t="n">
        <v>45870</v>
      </c>
      <c r="C214" s="174" t="inlineStr">
        <is>
          <t xml:space="preserve">Doc resturant - Test Spouse </t>
        </is>
      </c>
      <c r="D214" s="174" t="inlineStr">
        <is>
          <t xml:space="preserve">Test Spouse </t>
        </is>
      </c>
      <c r="E214" s="275" t="n">
        <v>97</v>
      </c>
      <c r="F214" s="275" t="inlineStr">
        <is>
          <t xml:space="preserve">Nab Credit </t>
        </is>
      </c>
    </row>
    <row r="215">
      <c r="B215" s="180" t="n">
        <v>45809</v>
      </c>
      <c r="C215" s="174" t="inlineStr">
        <is>
          <t xml:space="preserve">Fitzroy Town Hall Dinner </t>
        </is>
      </c>
      <c r="D215" s="174" t="inlineStr">
        <is>
          <t xml:space="preserve">Test Spouse and Friends </t>
        </is>
      </c>
      <c r="E215" s="275" t="n">
        <v>206</v>
      </c>
      <c r="F215" s="174" t="inlineStr">
        <is>
          <t>NAB Credit Card</t>
        </is>
      </c>
    </row>
    <row r="216">
      <c r="B216" s="180" t="n">
        <v>45809</v>
      </c>
      <c r="C216" s="174" t="inlineStr">
        <is>
          <t xml:space="preserve">Delatite Winery Mansfield </t>
        </is>
      </c>
      <c r="D216" s="174" t="inlineStr">
        <is>
          <t xml:space="preserve">Test Spouse and Friends </t>
        </is>
      </c>
      <c r="E216" s="275" t="n">
        <v>198</v>
      </c>
      <c r="F216" s="174" t="inlineStr">
        <is>
          <t>NAB Credit Card</t>
        </is>
      </c>
    </row>
    <row r="217">
      <c r="B217" s="180" t="n">
        <v>45809</v>
      </c>
      <c r="C217" s="174" t="inlineStr">
        <is>
          <t xml:space="preserve">Mansfield Food </t>
        </is>
      </c>
      <c r="D217" s="174" t="inlineStr">
        <is>
          <t xml:space="preserve">Test Spouse and Friends </t>
        </is>
      </c>
      <c r="E217" s="275" t="n">
        <v>150</v>
      </c>
      <c r="F217" s="174" t="inlineStr">
        <is>
          <t>NAB Credit Card</t>
        </is>
      </c>
    </row>
    <row r="218">
      <c r="B218" s="180" t="n">
        <v>45809</v>
      </c>
      <c r="C218" s="174" t="inlineStr">
        <is>
          <t xml:space="preserve">Mansfield Breakfast </t>
        </is>
      </c>
      <c r="D218" s="174" t="inlineStr">
        <is>
          <t xml:space="preserve">Test Spouse and Friends </t>
        </is>
      </c>
      <c r="E218" s="275" t="n">
        <v>81.73999999999999</v>
      </c>
      <c r="F218" s="174" t="inlineStr">
        <is>
          <t>NAB Credit Card</t>
        </is>
      </c>
    </row>
    <row r="219">
      <c r="B219" s="180" t="n">
        <v>45809</v>
      </c>
      <c r="C219" s="174" t="inlineStr">
        <is>
          <t xml:space="preserve">San Telmo Dinner </t>
        </is>
      </c>
      <c r="D219" s="174" t="inlineStr">
        <is>
          <t xml:space="preserve">Test Spouse and Friends </t>
        </is>
      </c>
      <c r="E219" s="275" t="n">
        <v>567</v>
      </c>
      <c r="F219" s="174" t="inlineStr">
        <is>
          <t xml:space="preserve">ING Everyday </t>
        </is>
      </c>
    </row>
    <row r="220">
      <c r="B220" s="180" t="n">
        <v>45809</v>
      </c>
      <c r="C220" s="174" t="inlineStr">
        <is>
          <t xml:space="preserve">Ostera Ollera Dinner </t>
        </is>
      </c>
      <c r="D220" s="174" t="inlineStr">
        <is>
          <t xml:space="preserve">Test Spouse </t>
        </is>
      </c>
      <c r="E220" s="275" t="n">
        <v>140</v>
      </c>
      <c r="F220" s="174" t="inlineStr">
        <is>
          <t xml:space="preserve">Westpac Joint </t>
        </is>
      </c>
    </row>
    <row r="221">
      <c r="B221" s="180" t="n">
        <v>45778</v>
      </c>
      <c r="C221" s="174" t="inlineStr">
        <is>
          <t xml:space="preserve">Winey Cow Mornington Penninsular </t>
        </is>
      </c>
      <c r="D221" s="174" t="inlineStr">
        <is>
          <t xml:space="preserve">Test Spouse </t>
        </is>
      </c>
      <c r="E221" s="275" t="n">
        <v>120</v>
      </c>
      <c r="F221" s="174" t="inlineStr">
        <is>
          <t xml:space="preserve">Westpac Joint </t>
        </is>
      </c>
    </row>
    <row r="222">
      <c r="B222" s="180" t="n">
        <v>45778</v>
      </c>
      <c r="C222" s="174" t="inlineStr">
        <is>
          <t xml:space="preserve">Old Palm Liquor Dinner </t>
        </is>
      </c>
      <c r="D222" s="174" t="inlineStr">
        <is>
          <t xml:space="preserve">Test Spouse </t>
        </is>
      </c>
      <c r="E222" s="275" t="n">
        <v>200</v>
      </c>
      <c r="F222" s="275" t="inlineStr">
        <is>
          <t xml:space="preserve">Westpac Joint </t>
        </is>
      </c>
    </row>
    <row r="223">
      <c r="B223" s="180" t="n">
        <v>45778</v>
      </c>
      <c r="C223" s="174" t="inlineStr">
        <is>
          <t xml:space="preserve">Friend Three Dinner </t>
        </is>
      </c>
      <c r="D223" s="174" t="inlineStr">
        <is>
          <t xml:space="preserve">Friends </t>
        </is>
      </c>
      <c r="E223" s="275" t="n">
        <v>120</v>
      </c>
      <c r="F223" s="275" t="inlineStr">
        <is>
          <t xml:space="preserve">ING Everyday </t>
        </is>
      </c>
    </row>
    <row r="224">
      <c r="B224" s="180" t="n">
        <v>45748</v>
      </c>
      <c r="C224" s="174" t="inlineStr">
        <is>
          <t xml:space="preserve">Embla </t>
        </is>
      </c>
      <c r="D224" s="174" t="inlineStr">
        <is>
          <t xml:space="preserve">Test Spouse </t>
        </is>
      </c>
      <c r="E224" s="275" t="n">
        <v>320</v>
      </c>
      <c r="F224" s="275" t="inlineStr">
        <is>
          <t xml:space="preserve">Westpac Joint </t>
        </is>
      </c>
    </row>
    <row r="225">
      <c r="B225" s="180" t="n">
        <v>45748</v>
      </c>
      <c r="C225" s="174" t="inlineStr">
        <is>
          <t xml:space="preserve">Plant Mumma Dinner </t>
        </is>
      </c>
      <c r="D225" s="174" t="inlineStr">
        <is>
          <t xml:space="preserve">Test Spouse </t>
        </is>
      </c>
      <c r="E225" s="275" t="n">
        <v>220</v>
      </c>
      <c r="F225" s="275" t="inlineStr">
        <is>
          <t>NAB Credit Card</t>
        </is>
      </c>
    </row>
    <row r="226">
      <c r="B226" s="180" t="n">
        <v>45717</v>
      </c>
      <c r="C226" s="174" t="inlineStr">
        <is>
          <t xml:space="preserve">Tamura Sake Bar Resturant </t>
        </is>
      </c>
      <c r="D226" s="174" t="inlineStr">
        <is>
          <t xml:space="preserve">Test Spouse </t>
        </is>
      </c>
      <c r="E226" s="275" t="n">
        <v>165</v>
      </c>
      <c r="F226" s="275" t="inlineStr">
        <is>
          <t xml:space="preserve">Westpac Joint </t>
        </is>
      </c>
    </row>
    <row r="227">
      <c r="B227" s="180" t="n">
        <v>45717</v>
      </c>
      <c r="C227" s="174" t="inlineStr">
        <is>
          <t xml:space="preserve">Capitano Resturant - Test Spouse and Friend Five </t>
        </is>
      </c>
      <c r="D227" s="174" t="inlineStr">
        <is>
          <t xml:space="preserve">Test Spouse and Friends </t>
        </is>
      </c>
      <c r="E227" s="275" t="n">
        <v>195</v>
      </c>
      <c r="F227" s="275" t="inlineStr">
        <is>
          <t>Virgin Go</t>
        </is>
      </c>
    </row>
    <row r="228">
      <c r="B228" s="180" t="n">
        <v>45717</v>
      </c>
      <c r="C228" s="174" t="inlineStr">
        <is>
          <t>Grazia Resturant - Solo</t>
        </is>
      </c>
      <c r="D228" s="174" t="inlineStr">
        <is>
          <t xml:space="preserve">Solo </t>
        </is>
      </c>
      <c r="E228" s="275" t="n">
        <v>152</v>
      </c>
      <c r="F228" s="275" t="inlineStr">
        <is>
          <t xml:space="preserve">Virgin Go </t>
        </is>
      </c>
    </row>
    <row r="229">
      <c r="B229" s="180" t="n">
        <v>45689</v>
      </c>
      <c r="C229" s="174" t="inlineStr">
        <is>
          <t xml:space="preserve">Etta Dining Dinner </t>
        </is>
      </c>
      <c r="D229" s="174" t="inlineStr">
        <is>
          <t xml:space="preserve">Test Spouse </t>
        </is>
      </c>
      <c r="E229" s="275" t="n">
        <v>273.84</v>
      </c>
      <c r="F229" s="174" t="inlineStr">
        <is>
          <t>NAB Credit Card</t>
        </is>
      </c>
    </row>
    <row r="230">
      <c r="B230" s="180" t="n">
        <v>45689</v>
      </c>
      <c r="C230" s="174" t="inlineStr">
        <is>
          <t xml:space="preserve">Bar Olo Dinner </t>
        </is>
      </c>
      <c r="D230" s="174" t="inlineStr">
        <is>
          <t xml:space="preserve">Test Spouse and Family </t>
        </is>
      </c>
      <c r="E230" s="275" t="n">
        <v>258</v>
      </c>
      <c r="F230" s="174" t="inlineStr">
        <is>
          <t>NAB Credit Card</t>
        </is>
      </c>
    </row>
    <row r="231">
      <c r="B231" s="180" t="n">
        <v>45689</v>
      </c>
      <c r="C231" s="174" t="inlineStr">
        <is>
          <t xml:space="preserve">Maha </t>
        </is>
      </c>
      <c r="D231" s="174" t="inlineStr">
        <is>
          <t xml:space="preserve">Test Spouse and Friends </t>
        </is>
      </c>
      <c r="E231" s="275" t="n">
        <v>345</v>
      </c>
      <c r="F231" s="174" t="inlineStr">
        <is>
          <t xml:space="preserve">ING Everyday </t>
        </is>
      </c>
    </row>
    <row r="232">
      <c r="B232" s="180" t="n">
        <v>45627</v>
      </c>
      <c r="C232" s="174" t="inlineStr">
        <is>
          <t xml:space="preserve">Centenove Nonna </t>
        </is>
      </c>
      <c r="D232" s="174" t="inlineStr">
        <is>
          <t xml:space="preserve">Family </t>
        </is>
      </c>
      <c r="E232" s="275" t="n">
        <v>430</v>
      </c>
      <c r="F232" s="174" t="inlineStr">
        <is>
          <t>NAB Credit Card</t>
        </is>
      </c>
    </row>
    <row r="233">
      <c r="B233" s="180" t="n">
        <v>45627</v>
      </c>
      <c r="C233" s="174" t="inlineStr">
        <is>
          <t xml:space="preserve">Scopri </t>
        </is>
      </c>
      <c r="D233" s="174" t="inlineStr">
        <is>
          <t xml:space="preserve">Friends </t>
        </is>
      </c>
      <c r="E233" s="275" t="n">
        <v>581</v>
      </c>
      <c r="F233" s="174" t="inlineStr">
        <is>
          <t xml:space="preserve">NAB Credit </t>
        </is>
      </c>
    </row>
    <row r="234">
      <c r="B234" s="180" t="n">
        <v>45627</v>
      </c>
      <c r="C234" s="174" t="inlineStr">
        <is>
          <t>Bar-olo</t>
        </is>
      </c>
      <c r="D234" s="174" t="inlineStr">
        <is>
          <t xml:space="preserve">Friends </t>
        </is>
      </c>
      <c r="E234" s="275" t="n">
        <v>184</v>
      </c>
      <c r="F234" s="174" t="inlineStr">
        <is>
          <t xml:space="preserve">NAB Credit </t>
        </is>
      </c>
    </row>
    <row r="235">
      <c r="B235" s="180" t="n">
        <v>45597</v>
      </c>
      <c r="C235" s="174" t="inlineStr">
        <is>
          <t xml:space="preserve">Vue de Mon - Friend Five </t>
        </is>
      </c>
      <c r="D235" s="174" t="inlineStr">
        <is>
          <t xml:space="preserve">Friends </t>
        </is>
      </c>
      <c r="E235" s="275" t="n">
        <v>300</v>
      </c>
      <c r="F235" s="174" t="inlineStr">
        <is>
          <t>NAB Credit Card</t>
        </is>
      </c>
    </row>
    <row r="236">
      <c r="B236" s="180" t="n">
        <v>45597</v>
      </c>
      <c r="C236" s="174" t="inlineStr">
        <is>
          <t xml:space="preserve">Entrecot - Friend Five </t>
        </is>
      </c>
      <c r="D236" s="174" t="inlineStr">
        <is>
          <t xml:space="preserve">Friends </t>
        </is>
      </c>
      <c r="E236" s="275" t="n">
        <v>345</v>
      </c>
      <c r="F236" s="174" t="inlineStr">
        <is>
          <t>NAB Credit Card</t>
        </is>
      </c>
    </row>
    <row r="237">
      <c r="B237" s="180" t="n">
        <v>45597</v>
      </c>
      <c r="C237" s="174" t="inlineStr">
        <is>
          <t xml:space="preserve">Friend Five Nightcap </t>
        </is>
      </c>
      <c r="D237" s="174" t="inlineStr">
        <is>
          <t xml:space="preserve">Friends </t>
        </is>
      </c>
      <c r="E237" s="275" t="n">
        <v>80</v>
      </c>
      <c r="F237" s="174" t="inlineStr">
        <is>
          <t xml:space="preserve">ING Everyday </t>
        </is>
      </c>
    </row>
    <row r="238">
      <c r="B238" s="180" t="n">
        <v>45566</v>
      </c>
      <c r="C238" s="174" t="inlineStr">
        <is>
          <t xml:space="preserve">Rita's Boys </t>
        </is>
      </c>
      <c r="D238" s="174" t="inlineStr">
        <is>
          <t xml:space="preserve">Friends </t>
        </is>
      </c>
      <c r="E238" s="275" t="n">
        <v>75</v>
      </c>
      <c r="F238" s="174" t="inlineStr">
        <is>
          <t xml:space="preserve">ING Everyday </t>
        </is>
      </c>
    </row>
    <row r="239">
      <c r="B239" s="180" t="n">
        <v>45536</v>
      </c>
      <c r="C239" s="174" t="inlineStr">
        <is>
          <t xml:space="preserve">Friend Ten's 10 year CBRE dinner </t>
        </is>
      </c>
      <c r="D239" s="174" t="inlineStr">
        <is>
          <t>Work</t>
        </is>
      </c>
      <c r="E239" s="275" t="n">
        <v>150</v>
      </c>
      <c r="F239" s="174" t="inlineStr">
        <is>
          <t>NAB Credit Card</t>
        </is>
      </c>
    </row>
    <row r="240">
      <c r="B240" s="180" t="n">
        <v>45536</v>
      </c>
      <c r="C240" s="174" t="inlineStr">
        <is>
          <t xml:space="preserve">Go-yo Test Spouse </t>
        </is>
      </c>
      <c r="D240" s="174" t="inlineStr">
        <is>
          <t xml:space="preserve">Test Spouse </t>
        </is>
      </c>
      <c r="E240" s="275" t="n">
        <v>100</v>
      </c>
      <c r="F240" s="174" t="inlineStr">
        <is>
          <t>NAB Credit Card</t>
        </is>
      </c>
    </row>
    <row r="241">
      <c r="B241" s="180" t="n">
        <v>45536</v>
      </c>
      <c r="C241" s="174" t="inlineStr">
        <is>
          <t xml:space="preserve">Friend Eight and Friend Seven </t>
        </is>
      </c>
      <c r="D241" s="174" t="inlineStr">
        <is>
          <t xml:space="preserve">Friends </t>
        </is>
      </c>
      <c r="E241" s="275" t="n">
        <v>500</v>
      </c>
      <c r="F241" s="174" t="inlineStr">
        <is>
          <t xml:space="preserve">ING Everyday </t>
        </is>
      </c>
    </row>
    <row r="242">
      <c r="B242" s="180" t="n">
        <v>45536</v>
      </c>
      <c r="C242" s="174" t="inlineStr">
        <is>
          <t>Melitos - Nonna Mum</t>
        </is>
      </c>
      <c r="D242" s="174" t="inlineStr">
        <is>
          <t xml:space="preserve">Family </t>
        </is>
      </c>
      <c r="E242" s="275" t="n">
        <v>321</v>
      </c>
      <c r="F242" s="174" t="inlineStr">
        <is>
          <t xml:space="preserve">NAB Old </t>
        </is>
      </c>
    </row>
    <row r="243">
      <c r="B243" s="180" t="n">
        <v>45505</v>
      </c>
      <c r="C243" s="174" t="inlineStr">
        <is>
          <t xml:space="preserve">Dinner Friend Five </t>
        </is>
      </c>
      <c r="D243" s="174" t="inlineStr">
        <is>
          <t xml:space="preserve">Friends </t>
        </is>
      </c>
      <c r="E243" s="275" t="n">
        <v>228</v>
      </c>
      <c r="F243" s="174" t="inlineStr">
        <is>
          <t xml:space="preserve">ING Everyday </t>
        </is>
      </c>
    </row>
    <row r="244">
      <c r="B244" s="180" t="n">
        <v>45505</v>
      </c>
      <c r="C244" s="174" t="inlineStr">
        <is>
          <t xml:space="preserve">Vue De Mon - Friend Six Friend Seven </t>
        </is>
      </c>
      <c r="D244" s="174" t="inlineStr">
        <is>
          <t xml:space="preserve">Friends </t>
        </is>
      </c>
      <c r="E244" s="275" t="n">
        <v>600</v>
      </c>
      <c r="F244" s="174" t="inlineStr">
        <is>
          <t xml:space="preserve">ING Everyday </t>
        </is>
      </c>
    </row>
    <row r="245">
      <c r="B245" s="180" t="n">
        <v>45505</v>
      </c>
      <c r="C245" s="174" t="inlineStr">
        <is>
          <t xml:space="preserve">Grill Americano Friend Five </t>
        </is>
      </c>
      <c r="D245" s="174" t="inlineStr">
        <is>
          <t xml:space="preserve">Friends </t>
        </is>
      </c>
      <c r="E245" s="275" t="n">
        <v>153</v>
      </c>
      <c r="F245" s="275" t="inlineStr">
        <is>
          <t xml:space="preserve">NAB Credit old </t>
        </is>
      </c>
    </row>
    <row r="246">
      <c r="B246" s="180" t="n">
        <v>45839</v>
      </c>
      <c r="C246" s="174" t="inlineStr">
        <is>
          <t xml:space="preserve">Taverna </t>
        </is>
      </c>
      <c r="D246" s="174" t="inlineStr">
        <is>
          <t xml:space="preserve">Test Spouse </t>
        </is>
      </c>
      <c r="E246" s="275" t="n">
        <v>217</v>
      </c>
      <c r="F246" s="174" t="inlineStr">
        <is>
          <t>NAB Credit Card</t>
        </is>
      </c>
    </row>
    <row r="247">
      <c r="B247" s="180" t="n">
        <v>45962</v>
      </c>
      <c r="C247" s="174" t="inlineStr">
        <is>
          <t xml:space="preserve">Moshi Moshi, Morington </t>
        </is>
      </c>
      <c r="D247" s="174" t="inlineStr">
        <is>
          <t xml:space="preserve">Test Spouse and Friends </t>
        </is>
      </c>
      <c r="E247" s="275" t="n">
        <v>175</v>
      </c>
      <c r="F247" s="174" t="inlineStr">
        <is>
          <t xml:space="preserve">NAB offset </t>
        </is>
      </c>
    </row>
    <row r="248">
      <c r="B248" s="180" t="n">
        <v>45931</v>
      </c>
      <c r="C248" s="174" t="inlineStr">
        <is>
          <t xml:space="preserve">Bar Selecta, Hawthorn </t>
        </is>
      </c>
      <c r="D248" s="174" t="inlineStr">
        <is>
          <t xml:space="preserve">Test Spouse </t>
        </is>
      </c>
      <c r="E248" s="275" t="n">
        <v>100</v>
      </c>
      <c r="F248" s="174" t="inlineStr">
        <is>
          <t>NAB Credit Card</t>
        </is>
      </c>
    </row>
    <row r="249">
      <c r="B249" s="180" t="n">
        <v>45931</v>
      </c>
      <c r="C249" s="174" t="inlineStr">
        <is>
          <t xml:space="preserve">Gibsons Wine Bar, Hawthorn </t>
        </is>
      </c>
      <c r="D249" s="174" t="inlineStr">
        <is>
          <t xml:space="preserve">Test Spouse and Friends </t>
        </is>
      </c>
      <c r="E249" s="275" t="n">
        <v>230</v>
      </c>
      <c r="F249" s="174" t="inlineStr">
        <is>
          <t xml:space="preserve">NAB Credit Card </t>
        </is>
      </c>
    </row>
    <row r="250">
      <c r="B250" s="180" t="n">
        <v>45931</v>
      </c>
      <c r="C250" s="174" t="inlineStr">
        <is>
          <t xml:space="preserve">Pipis Kiosk, Middle Park </t>
        </is>
      </c>
      <c r="D250" s="174" t="inlineStr">
        <is>
          <t xml:space="preserve">Test Spouse and Friends </t>
        </is>
      </c>
      <c r="E250" s="275" t="n">
        <v>294</v>
      </c>
      <c r="F250" s="174" t="inlineStr">
        <is>
          <t xml:space="preserve">NAB Credit Card </t>
        </is>
      </c>
    </row>
    <row r="251">
      <c r="B251" s="180" t="n"/>
    </row>
    <row r="252">
      <c r="B252" s="180" t="n"/>
      <c r="C252" s="180" t="n"/>
      <c r="D252" s="180" t="n"/>
      <c r="E252" s="180" t="n"/>
      <c r="F252" s="180" t="n"/>
    </row>
    <row r="253">
      <c r="B253" s="180" t="n"/>
    </row>
    <row r="254">
      <c r="B254" s="180" t="n"/>
    </row>
    <row r="255">
      <c r="B255" s="320" t="n"/>
      <c r="C255" s="228" t="n"/>
      <c r="D255" s="228" t="n"/>
      <c r="E255" s="230" t="n"/>
      <c r="F255" s="228" t="n"/>
    </row>
    <row r="256" ht="21" customHeight="1">
      <c r="B256" s="266" t="inlineStr">
        <is>
          <t xml:space="preserve">CLOTHING AND ACCESSORIES </t>
        </is>
      </c>
      <c r="C256" s="266" t="n"/>
      <c r="D256" s="266" t="n"/>
      <c r="E256" s="266" t="n"/>
      <c r="F256" s="266" t="n"/>
    </row>
    <row r="257">
      <c r="B257" s="174" t="inlineStr">
        <is>
          <t xml:space="preserve">Date </t>
        </is>
      </c>
      <c r="C257" s="174" t="inlineStr">
        <is>
          <t xml:space="preserve">Item </t>
        </is>
      </c>
      <c r="D257" s="174" t="inlineStr">
        <is>
          <t xml:space="preserve">Sub Category </t>
        </is>
      </c>
      <c r="E257" s="174" t="inlineStr">
        <is>
          <t xml:space="preserve">Cost </t>
        </is>
      </c>
      <c r="F257" s="174" t="inlineStr">
        <is>
          <t xml:space="preserve">Payment Method </t>
        </is>
      </c>
    </row>
    <row r="258">
      <c r="B258" s="180" t="n">
        <v>45901</v>
      </c>
      <c r="C258" s="174" t="inlineStr">
        <is>
          <t xml:space="preserve">Assembly Label CBD </t>
        </is>
      </c>
      <c r="D258" s="174" t="inlineStr">
        <is>
          <t xml:space="preserve">Casual Clothes </t>
        </is>
      </c>
      <c r="E258" s="275" t="n">
        <v>90</v>
      </c>
      <c r="F258" s="174" t="inlineStr">
        <is>
          <t>NAB Credit Card</t>
        </is>
      </c>
    </row>
    <row r="259">
      <c r="B259" s="180" t="n">
        <v>45839</v>
      </c>
      <c r="C259" s="174" t="inlineStr">
        <is>
          <t xml:space="preserve">Incu Clothing </t>
        </is>
      </c>
      <c r="D259" s="174" t="inlineStr">
        <is>
          <t xml:space="preserve">Casual Clothes </t>
        </is>
      </c>
      <c r="E259" s="275" t="n">
        <v>175</v>
      </c>
      <c r="F259" s="174" t="inlineStr">
        <is>
          <t>NAB Credit Card</t>
        </is>
      </c>
    </row>
    <row r="260">
      <c r="B260" s="180" t="n">
        <v>45839</v>
      </c>
      <c r="C260" s="174" t="inlineStr">
        <is>
          <t xml:space="preserve">MJ Bale Clothing </t>
        </is>
      </c>
      <c r="D260" s="174" t="inlineStr">
        <is>
          <t xml:space="preserve">Casual Clothes </t>
        </is>
      </c>
      <c r="E260" s="275" t="n">
        <v>127</v>
      </c>
      <c r="F260" s="174" t="inlineStr">
        <is>
          <t xml:space="preserve">Westpac Joint </t>
        </is>
      </c>
    </row>
    <row r="261">
      <c r="B261" s="180" t="n">
        <v>45809</v>
      </c>
      <c r="C261" s="174" t="inlineStr">
        <is>
          <t xml:space="preserve">Up-there store, clothing </t>
        </is>
      </c>
      <c r="D261" s="174" t="inlineStr">
        <is>
          <t xml:space="preserve">Casual Clothes </t>
        </is>
      </c>
      <c r="E261" s="275" t="n">
        <v>224</v>
      </c>
      <c r="F261" s="174" t="inlineStr">
        <is>
          <t>NAB Credit Card</t>
        </is>
      </c>
    </row>
    <row r="262">
      <c r="B262" s="180" t="n">
        <v>45689</v>
      </c>
      <c r="C262" s="174" t="inlineStr">
        <is>
          <t xml:space="preserve">P Johnson Clothing </t>
        </is>
      </c>
      <c r="D262" s="174" t="inlineStr">
        <is>
          <t xml:space="preserve">Casual Clothes </t>
        </is>
      </c>
      <c r="E262" s="275" t="n">
        <v>214</v>
      </c>
      <c r="F262" s="174" t="inlineStr">
        <is>
          <t>NAB Credit Card</t>
        </is>
      </c>
    </row>
    <row r="263">
      <c r="B263" s="180" t="n">
        <v>45627</v>
      </c>
      <c r="C263" s="174" t="inlineStr">
        <is>
          <t>Carharrt WIP</t>
        </is>
      </c>
      <c r="D263" s="174" t="inlineStr">
        <is>
          <t xml:space="preserve">Casual Clothes </t>
        </is>
      </c>
      <c r="E263" s="275" t="n">
        <v>169</v>
      </c>
      <c r="F263" s="174" t="inlineStr">
        <is>
          <t>NAB Credit Card</t>
        </is>
      </c>
    </row>
    <row r="264">
      <c r="B264" s="180" t="n">
        <v>45627</v>
      </c>
      <c r="C264" s="174" t="inlineStr">
        <is>
          <t xml:space="preserve">Incu </t>
        </is>
      </c>
      <c r="D264" s="174" t="inlineStr">
        <is>
          <t xml:space="preserve">Casual Clothes </t>
        </is>
      </c>
      <c r="E264" s="275" t="n">
        <v>525</v>
      </c>
      <c r="F264" s="174" t="inlineStr">
        <is>
          <t xml:space="preserve">NAB Credit </t>
        </is>
      </c>
    </row>
    <row r="265">
      <c r="B265" s="180" t="n">
        <v>45627</v>
      </c>
      <c r="C265" s="174" t="inlineStr">
        <is>
          <t xml:space="preserve">Runners Sole Motive </t>
        </is>
      </c>
      <c r="D265" s="174" t="inlineStr">
        <is>
          <t xml:space="preserve">Sport Attire </t>
        </is>
      </c>
      <c r="E265" s="275" t="n">
        <v>350</v>
      </c>
      <c r="F265" s="174" t="inlineStr">
        <is>
          <t xml:space="preserve">NAB Credit </t>
        </is>
      </c>
    </row>
    <row r="266">
      <c r="B266" s="180" t="n">
        <v>45627</v>
      </c>
      <c r="C266" s="174" t="inlineStr">
        <is>
          <t xml:space="preserve">Essendon Fields Outlet </t>
        </is>
      </c>
      <c r="D266" s="174" t="inlineStr">
        <is>
          <t xml:space="preserve">Casual Clothes </t>
        </is>
      </c>
      <c r="E266" s="275" t="n">
        <v>150</v>
      </c>
      <c r="F266" s="174" t="inlineStr">
        <is>
          <t>NAB Credit</t>
        </is>
      </c>
    </row>
    <row r="267">
      <c r="B267" s="180" t="n">
        <v>45627</v>
      </c>
      <c r="C267" s="174" t="inlineStr">
        <is>
          <t xml:space="preserve">Adidas Runners </t>
        </is>
      </c>
      <c r="D267" s="174" t="inlineStr">
        <is>
          <t xml:space="preserve">Sport Attire </t>
        </is>
      </c>
      <c r="E267" s="275" t="n">
        <v>260</v>
      </c>
      <c r="F267" s="174" t="inlineStr">
        <is>
          <t xml:space="preserve">NAB Credit </t>
        </is>
      </c>
    </row>
    <row r="268">
      <c r="B268" s="180" t="n">
        <v>45627</v>
      </c>
      <c r="C268" s="174" t="inlineStr">
        <is>
          <t>Myer Burke Street Mall</t>
        </is>
      </c>
      <c r="E268" s="275" t="n">
        <v>100</v>
      </c>
      <c r="F268" s="174" t="inlineStr">
        <is>
          <t xml:space="preserve">NAB Credit </t>
        </is>
      </c>
    </row>
    <row r="269">
      <c r="B269" s="180" t="n">
        <v>45627</v>
      </c>
      <c r="C269" s="174" t="inlineStr">
        <is>
          <t xml:space="preserve">Carhartt WIP Clothing </t>
        </is>
      </c>
      <c r="D269" s="174" t="inlineStr">
        <is>
          <t xml:space="preserve">Casual Clothes </t>
        </is>
      </c>
      <c r="E269" s="275" t="n">
        <v>169</v>
      </c>
      <c r="F269" s="174" t="inlineStr">
        <is>
          <t>NAB Credit Card</t>
        </is>
      </c>
    </row>
    <row r="270">
      <c r="B270" s="180" t="n"/>
    </row>
    <row r="271">
      <c r="B271" s="180" t="n">
        <v>45597</v>
      </c>
      <c r="C271" s="174" t="inlineStr">
        <is>
          <t xml:space="preserve">Aquilla Shoes </t>
        </is>
      </c>
      <c r="D271" s="174" t="inlineStr">
        <is>
          <t xml:space="preserve">Formal Clothes </t>
        </is>
      </c>
      <c r="E271" s="275" t="n">
        <v>200</v>
      </c>
      <c r="F271" s="174" t="inlineStr">
        <is>
          <t xml:space="preserve">NAB Credit </t>
        </is>
      </c>
    </row>
    <row r="272">
      <c r="B272" s="180" t="n">
        <v>45597</v>
      </c>
      <c r="C272" s="174" t="inlineStr">
        <is>
          <t xml:space="preserve">July Luggage </t>
        </is>
      </c>
      <c r="D272" s="174" t="inlineStr">
        <is>
          <t xml:space="preserve">Travel </t>
        </is>
      </c>
      <c r="E272" s="275" t="n">
        <v>590</v>
      </c>
      <c r="F272" s="174" t="inlineStr">
        <is>
          <t xml:space="preserve">NAB Credit </t>
        </is>
      </c>
    </row>
    <row r="273">
      <c r="B273" s="180" t="n">
        <v>45566</v>
      </c>
      <c r="C273" s="174" t="inlineStr">
        <is>
          <t xml:space="preserve">Alfies Shirt </t>
        </is>
      </c>
      <c r="D273" s="174" t="inlineStr">
        <is>
          <t xml:space="preserve">Casual Clothes </t>
        </is>
      </c>
      <c r="E273" s="275" t="n">
        <v>150</v>
      </c>
    </row>
    <row r="274">
      <c r="B274" s="180" t="n">
        <v>45536</v>
      </c>
      <c r="C274" s="174" t="inlineStr">
        <is>
          <t xml:space="preserve">Archies - Lisbon </t>
        </is>
      </c>
      <c r="D274" s="174" t="inlineStr">
        <is>
          <t xml:space="preserve">Casual Clothes </t>
        </is>
      </c>
      <c r="E274" s="275" t="n">
        <v>72</v>
      </c>
      <c r="F274" s="174" t="inlineStr">
        <is>
          <t xml:space="preserve">ING Everyday </t>
        </is>
      </c>
    </row>
    <row r="275">
      <c r="B275" s="180" t="n">
        <v>45536</v>
      </c>
      <c r="C275" s="174" t="inlineStr">
        <is>
          <t xml:space="preserve">Assembly Label Mornington </t>
        </is>
      </c>
      <c r="D275" s="174" t="inlineStr">
        <is>
          <t xml:space="preserve">Casual Clothes </t>
        </is>
      </c>
      <c r="E275" s="275" t="n">
        <v>100</v>
      </c>
      <c r="F275" s="174" t="inlineStr">
        <is>
          <t xml:space="preserve">NAB Credit old </t>
        </is>
      </c>
    </row>
    <row r="276">
      <c r="B276" s="180" t="n">
        <v>45474</v>
      </c>
      <c r="C276" s="174" t="inlineStr">
        <is>
          <t xml:space="preserve">Kith </t>
        </is>
      </c>
      <c r="D276" s="174" t="inlineStr">
        <is>
          <t xml:space="preserve">Casual Clothes </t>
        </is>
      </c>
      <c r="E276" s="275" t="n">
        <v>131</v>
      </c>
      <c r="F276" s="174" t="inlineStr">
        <is>
          <t xml:space="preserve">ING </t>
        </is>
      </c>
    </row>
    <row r="277"/>
    <row r="278"/>
    <row r="279" ht="21" customHeight="1">
      <c r="B279" s="266" t="inlineStr">
        <is>
          <t xml:space="preserve">Holidays - Weekends Away </t>
        </is>
      </c>
      <c r="C279" s="266" t="n"/>
      <c r="D279" s="266" t="n"/>
      <c r="E279" s="266" t="n"/>
      <c r="F279" s="266" t="n"/>
    </row>
    <row r="280">
      <c r="A280" s="176" t="inlineStr">
        <is>
          <t xml:space="preserve">Location </t>
        </is>
      </c>
      <c r="B280" s="176" t="inlineStr">
        <is>
          <t xml:space="preserve">Date </t>
        </is>
      </c>
      <c r="C280" s="176" t="inlineStr">
        <is>
          <t xml:space="preserve">Item </t>
        </is>
      </c>
      <c r="D280" s="176" t="inlineStr">
        <is>
          <t xml:space="preserve">Sub Item </t>
        </is>
      </c>
      <c r="E280" s="176" t="inlineStr">
        <is>
          <t xml:space="preserve">Cost </t>
        </is>
      </c>
      <c r="F280" s="174" t="inlineStr">
        <is>
          <t>Column1</t>
        </is>
      </c>
    </row>
    <row r="281">
      <c r="A281" s="174" t="inlineStr">
        <is>
          <t>Argentina 25</t>
        </is>
      </c>
      <c r="B281" s="180" t="n">
        <v>45627</v>
      </c>
      <c r="C281" s="174" t="inlineStr">
        <is>
          <t xml:space="preserve">Latam Flight Upgrades </t>
        </is>
      </c>
      <c r="D281" s="174" t="inlineStr">
        <is>
          <t>Flights</t>
        </is>
      </c>
      <c r="E281" s="275" t="n">
        <v>80</v>
      </c>
      <c r="F281" s="174" t="inlineStr">
        <is>
          <t xml:space="preserve">NAB Credit </t>
        </is>
      </c>
    </row>
    <row r="282">
      <c r="A282" s="174" t="inlineStr">
        <is>
          <t>Argentina 25</t>
        </is>
      </c>
      <c r="B282" s="180" t="n">
        <v>45627</v>
      </c>
      <c r="C282" s="174" t="inlineStr">
        <is>
          <t xml:space="preserve">Allianz Travel Insurance Sth America </t>
        </is>
      </c>
      <c r="D282" s="174" t="inlineStr">
        <is>
          <t xml:space="preserve">Insurance </t>
        </is>
      </c>
      <c r="E282" s="275" t="n">
        <v>100</v>
      </c>
      <c r="F282" s="275" t="inlineStr">
        <is>
          <t xml:space="preserve">NAB Credit </t>
        </is>
      </c>
    </row>
    <row r="283">
      <c r="A283" s="174" t="inlineStr">
        <is>
          <t>Argentina 25</t>
        </is>
      </c>
      <c r="B283" s="180" t="n">
        <v>45566</v>
      </c>
      <c r="C283" s="174" t="inlineStr">
        <is>
          <t xml:space="preserve">Flight upgrade </t>
        </is>
      </c>
      <c r="D283" s="174" t="inlineStr">
        <is>
          <t xml:space="preserve">Flights </t>
        </is>
      </c>
      <c r="E283" s="275" t="n">
        <v>388</v>
      </c>
    </row>
    <row r="284">
      <c r="A284" s="174" t="inlineStr">
        <is>
          <t>Argentina 25</t>
        </is>
      </c>
      <c r="B284" s="180" t="n">
        <v>45505</v>
      </c>
      <c r="C284" s="174" t="inlineStr">
        <is>
          <t xml:space="preserve">Flights - </t>
        </is>
      </c>
      <c r="D284" s="174" t="inlineStr">
        <is>
          <t xml:space="preserve">Flights </t>
        </is>
      </c>
      <c r="E284" s="275" t="n">
        <v>5506</v>
      </c>
      <c r="F284" s="174" t="inlineStr">
        <is>
          <t xml:space="preserve">Voucher </t>
        </is>
      </c>
    </row>
    <row r="285">
      <c r="A285" s="174" t="inlineStr">
        <is>
          <t>Argentina 25</t>
        </is>
      </c>
      <c r="B285" s="180" t="n">
        <v>45627</v>
      </c>
      <c r="C285" s="174" t="inlineStr">
        <is>
          <t xml:space="preserve">General Spending Wise Card </t>
        </is>
      </c>
    </row>
    <row r="286">
      <c r="A286" s="174" t="inlineStr">
        <is>
          <t>Daysford  25</t>
        </is>
      </c>
      <c r="B286" s="180" t="n">
        <v>45901</v>
      </c>
      <c r="C286" s="180" t="inlineStr">
        <is>
          <t xml:space="preserve">Air bnb </t>
        </is>
      </c>
      <c r="D286" s="174" t="inlineStr">
        <is>
          <t xml:space="preserve">Accomodation </t>
        </is>
      </c>
      <c r="E286" s="275" t="n">
        <v>448</v>
      </c>
      <c r="F286" s="174" t="inlineStr">
        <is>
          <t xml:space="preserve">NAB Credit Card </t>
        </is>
      </c>
    </row>
    <row r="287">
      <c r="A287" s="174" t="inlineStr">
        <is>
          <t>Launching Place 24</t>
        </is>
      </c>
      <c r="B287" s="180" t="n">
        <v>45597</v>
      </c>
      <c r="C287" s="174" t="inlineStr">
        <is>
          <t xml:space="preserve">Tent Hire Friend Ten Friend Eleven Wedding </t>
        </is>
      </c>
      <c r="D287" s="174" t="inlineStr">
        <is>
          <t xml:space="preserve">Accomodation </t>
        </is>
      </c>
      <c r="E287" s="275" t="n">
        <v>420</v>
      </c>
      <c r="F287" s="174" t="inlineStr">
        <is>
          <t xml:space="preserve">ING Everyday </t>
        </is>
      </c>
    </row>
    <row r="288">
      <c r="A288" s="259" t="inlineStr">
        <is>
          <t>Lisbon 24</t>
        </is>
      </c>
      <c r="B288" s="260" t="n">
        <v>45536</v>
      </c>
      <c r="C288" s="259" t="inlineStr">
        <is>
          <t xml:space="preserve">Air bnb </t>
        </is>
      </c>
      <c r="D288" s="259" t="inlineStr">
        <is>
          <t xml:space="preserve">Accomodation </t>
        </is>
      </c>
      <c r="E288" s="262" t="n">
        <v>2328</v>
      </c>
      <c r="F288" s="259" t="n"/>
    </row>
    <row r="289">
      <c r="A289" s="174" t="inlineStr">
        <is>
          <t>Lisbon 24</t>
        </is>
      </c>
      <c r="B289" s="180" t="n">
        <v>45536</v>
      </c>
      <c r="C289" s="174" t="inlineStr">
        <is>
          <t xml:space="preserve">One Cover Travel Insurance </t>
        </is>
      </c>
      <c r="D289" s="174" t="inlineStr">
        <is>
          <t xml:space="preserve">Insurance </t>
        </is>
      </c>
      <c r="E289" s="275" t="n">
        <v>165</v>
      </c>
      <c r="F289" s="174" t="inlineStr">
        <is>
          <t xml:space="preserve">NAB Credit Old </t>
        </is>
      </c>
    </row>
    <row r="290">
      <c r="A290" s="259" t="inlineStr">
        <is>
          <t>Lisbon 24</t>
        </is>
      </c>
      <c r="B290" s="260" t="n">
        <v>45505</v>
      </c>
      <c r="C290" s="259" t="inlineStr">
        <is>
          <t xml:space="preserve">Flights - Premium Economu </t>
        </is>
      </c>
      <c r="D290" s="259" t="inlineStr">
        <is>
          <t xml:space="preserve">Flights </t>
        </is>
      </c>
      <c r="E290" s="262" t="n">
        <v>5624</v>
      </c>
      <c r="F290" s="259" t="inlineStr">
        <is>
          <t xml:space="preserve">Voucher </t>
        </is>
      </c>
    </row>
    <row r="291">
      <c r="A291" s="174" t="inlineStr">
        <is>
          <t>Lisbon 24</t>
        </is>
      </c>
      <c r="B291" s="180" t="n">
        <v>45566</v>
      </c>
      <c r="C291" s="174" t="inlineStr">
        <is>
          <t xml:space="preserve">Magnolia - Lisbon </t>
        </is>
      </c>
      <c r="D291" s="174" t="inlineStr">
        <is>
          <t xml:space="preserve">Resturant </t>
        </is>
      </c>
      <c r="E291" s="275" t="n">
        <v>165</v>
      </c>
      <c r="F291" s="174" t="inlineStr">
        <is>
          <t xml:space="preserve">ING Everyday </t>
        </is>
      </c>
    </row>
    <row r="292">
      <c r="A292" s="174" t="inlineStr">
        <is>
          <t>Lisbon 24</t>
        </is>
      </c>
      <c r="B292" s="180" t="n">
        <v>45566</v>
      </c>
      <c r="C292" s="174" t="inlineStr">
        <is>
          <t>Mona Verde - Lisbon</t>
        </is>
      </c>
      <c r="D292" s="174" t="inlineStr">
        <is>
          <t xml:space="preserve">Resturant </t>
        </is>
      </c>
      <c r="E292" s="275" t="n">
        <v>104</v>
      </c>
      <c r="F292" s="174" t="inlineStr">
        <is>
          <t xml:space="preserve">ING Everyday </t>
        </is>
      </c>
    </row>
    <row r="293">
      <c r="A293" s="174" t="inlineStr">
        <is>
          <t>Lisbon 24</t>
        </is>
      </c>
      <c r="B293" s="180" t="n">
        <v>45566</v>
      </c>
      <c r="C293" s="174" t="inlineStr">
        <is>
          <t>O-Purista - Lisbon</t>
        </is>
      </c>
      <c r="D293" s="174" t="inlineStr">
        <is>
          <t xml:space="preserve">Resturant </t>
        </is>
      </c>
      <c r="E293" s="275" t="n">
        <v>65</v>
      </c>
      <c r="F293" s="174" t="inlineStr">
        <is>
          <t xml:space="preserve">ING Everyday </t>
        </is>
      </c>
    </row>
    <row r="294">
      <c r="A294" s="174" t="inlineStr">
        <is>
          <t>Lisbon 24</t>
        </is>
      </c>
      <c r="B294" s="180" t="n">
        <v>45566</v>
      </c>
      <c r="C294" s="174" t="inlineStr">
        <is>
          <t xml:space="preserve">Season -Lisbon </t>
        </is>
      </c>
      <c r="D294" s="174" t="inlineStr">
        <is>
          <t xml:space="preserve">Resturant </t>
        </is>
      </c>
      <c r="E294" s="275" t="n">
        <v>108</v>
      </c>
      <c r="F294" s="174" t="inlineStr">
        <is>
          <t xml:space="preserve">ING Everyday </t>
        </is>
      </c>
    </row>
    <row r="295">
      <c r="A295" s="174" t="inlineStr">
        <is>
          <t>Lisbon 24</t>
        </is>
      </c>
      <c r="B295" s="180" t="n">
        <v>45566</v>
      </c>
      <c r="C295" s="174" t="inlineStr">
        <is>
          <t xml:space="preserve">Pastaria - Lisbon </t>
        </is>
      </c>
      <c r="D295" s="174" t="inlineStr">
        <is>
          <t xml:space="preserve">Resturant </t>
        </is>
      </c>
      <c r="E295" s="275" t="n">
        <v>80</v>
      </c>
      <c r="F295" s="174" t="inlineStr">
        <is>
          <t xml:space="preserve">ING Everyday </t>
        </is>
      </c>
    </row>
    <row r="296">
      <c r="A296" s="174" t="inlineStr">
        <is>
          <t>Lisbon 24</t>
        </is>
      </c>
      <c r="B296" s="180" t="n">
        <v>45536</v>
      </c>
      <c r="C296" s="174" t="inlineStr">
        <is>
          <t xml:space="preserve">Amelia - Lisbon </t>
        </is>
      </c>
      <c r="D296" s="174" t="inlineStr">
        <is>
          <t xml:space="preserve">Resturant </t>
        </is>
      </c>
      <c r="E296" s="275" t="n">
        <v>56</v>
      </c>
      <c r="F296" s="174" t="inlineStr">
        <is>
          <t xml:space="preserve">ING Everyday </t>
        </is>
      </c>
    </row>
    <row r="297">
      <c r="A297" s="174" t="inlineStr">
        <is>
          <t>Lisbon 24</t>
        </is>
      </c>
      <c r="B297" s="180" t="n">
        <v>45536</v>
      </c>
      <c r="C297" s="174" t="inlineStr">
        <is>
          <t xml:space="preserve">Pescador - Lisbon </t>
        </is>
      </c>
      <c r="D297" s="174" t="inlineStr">
        <is>
          <t xml:space="preserve">Resturant </t>
        </is>
      </c>
      <c r="E297" s="275" t="n">
        <v>140</v>
      </c>
      <c r="F297" s="174" t="inlineStr">
        <is>
          <t xml:space="preserve">ING Everyday </t>
        </is>
      </c>
    </row>
    <row r="298">
      <c r="A298" s="174" t="inlineStr">
        <is>
          <t>QLD 25</t>
        </is>
      </c>
      <c r="B298" s="180" t="n">
        <v>45839</v>
      </c>
      <c r="C298" s="174" t="inlineStr">
        <is>
          <t xml:space="preserve">Hamilton Island Buggy </t>
        </is>
      </c>
      <c r="D298" s="174" t="inlineStr">
        <is>
          <t xml:space="preserve">Transport / Transfer </t>
        </is>
      </c>
      <c r="E298" s="275" t="n">
        <v>754</v>
      </c>
      <c r="F298" s="174" t="inlineStr">
        <is>
          <t>NAB Credit Card</t>
        </is>
      </c>
    </row>
    <row r="299">
      <c r="A299" s="174" t="inlineStr">
        <is>
          <t>QLD 25</t>
        </is>
      </c>
      <c r="B299" s="180" t="n">
        <v>45839</v>
      </c>
      <c r="C299" s="174" t="inlineStr">
        <is>
          <t xml:space="preserve">Hamilton Island Accomodation </t>
        </is>
      </c>
      <c r="D299" s="174" t="inlineStr">
        <is>
          <t xml:space="preserve">Accomodation </t>
        </is>
      </c>
      <c r="E299" s="275" t="n">
        <v>2887</v>
      </c>
      <c r="F299" s="174" t="inlineStr">
        <is>
          <t>NAB Credit Card</t>
        </is>
      </c>
    </row>
    <row r="300">
      <c r="A300" s="174" t="inlineStr">
        <is>
          <t>QLD 25</t>
        </is>
      </c>
      <c r="B300" s="180" t="n">
        <v>45839</v>
      </c>
      <c r="C300" s="180" t="inlineStr">
        <is>
          <t xml:space="preserve">Port Douglas Transfer </t>
        </is>
      </c>
      <c r="D300" s="174" t="inlineStr">
        <is>
          <t xml:space="preserve">Transport / Transfer </t>
        </is>
      </c>
      <c r="E300" s="275" t="n">
        <v>223</v>
      </c>
      <c r="F300" s="174" t="inlineStr">
        <is>
          <t>NAB Credit Card</t>
        </is>
      </c>
    </row>
    <row r="301">
      <c r="A301" s="174" t="inlineStr">
        <is>
          <t>QLD 25</t>
        </is>
      </c>
      <c r="B301" s="180" t="n">
        <v>45839</v>
      </c>
      <c r="C301" s="174" t="inlineStr">
        <is>
          <t xml:space="preserve">Salsa Bar and Grill Dinner  Port Douglas </t>
        </is>
      </c>
      <c r="D301" s="174" t="inlineStr">
        <is>
          <t xml:space="preserve">Resturant </t>
        </is>
      </c>
      <c r="E301" s="275" t="n">
        <v>275</v>
      </c>
      <c r="F301" s="174" t="inlineStr">
        <is>
          <t>NAB Credit Card</t>
        </is>
      </c>
    </row>
    <row r="302">
      <c r="A302" s="174" t="inlineStr">
        <is>
          <t>QLD 25</t>
        </is>
      </c>
      <c r="B302" s="180" t="n">
        <v>45839</v>
      </c>
      <c r="C302" s="174" t="inlineStr">
        <is>
          <t xml:space="preserve">Natilus Dinner Port Douglas </t>
        </is>
      </c>
      <c r="D302" s="174" t="inlineStr">
        <is>
          <t xml:space="preserve">Resturant </t>
        </is>
      </c>
      <c r="E302" s="275" t="n">
        <v>500</v>
      </c>
      <c r="F302" s="174" t="inlineStr">
        <is>
          <t>NAB Credit Card</t>
        </is>
      </c>
    </row>
    <row r="303">
      <c r="A303" s="174" t="inlineStr">
        <is>
          <t>QLD 25</t>
        </is>
      </c>
      <c r="B303" s="180" t="n">
        <v>45839</v>
      </c>
      <c r="C303" s="174" t="inlineStr">
        <is>
          <t xml:space="preserve">Added Buffet Port Douglas </t>
        </is>
      </c>
      <c r="D303" s="174" t="inlineStr">
        <is>
          <t xml:space="preserve">Resturant </t>
        </is>
      </c>
      <c r="E303" s="275" t="n">
        <v>170</v>
      </c>
      <c r="F303" s="174" t="inlineStr">
        <is>
          <t>NAB Credit Card</t>
        </is>
      </c>
    </row>
    <row r="304">
      <c r="A304" s="174" t="inlineStr">
        <is>
          <t>QLD 25</t>
        </is>
      </c>
      <c r="B304" s="180" t="n">
        <v>45839</v>
      </c>
      <c r="C304" s="174" t="inlineStr">
        <is>
          <t xml:space="preserve">Shantara Dinner Port Douglas </t>
        </is>
      </c>
      <c r="D304" s="174" t="inlineStr">
        <is>
          <t xml:space="preserve">Resturant </t>
        </is>
      </c>
      <c r="E304" s="275" t="n">
        <v>161</v>
      </c>
      <c r="F304" s="174" t="inlineStr">
        <is>
          <t>NAB Credit Card</t>
        </is>
      </c>
    </row>
    <row r="305">
      <c r="A305" s="174" t="inlineStr">
        <is>
          <t>QLD 25</t>
        </is>
      </c>
      <c r="B305" s="180" t="n">
        <v>45839</v>
      </c>
      <c r="C305" s="174" t="inlineStr">
        <is>
          <t xml:space="preserve">Sherradon Accom Grand Marrage Port Douglas </t>
        </is>
      </c>
      <c r="D305" s="174" t="inlineStr">
        <is>
          <t xml:space="preserve">Accomodation </t>
        </is>
      </c>
      <c r="E305" s="275" t="n">
        <v>326</v>
      </c>
      <c r="F305" s="174" t="inlineStr">
        <is>
          <t>NAB Credit Card</t>
        </is>
      </c>
    </row>
    <row r="306">
      <c r="A306" s="174" t="inlineStr">
        <is>
          <t>QLD 25</t>
        </is>
      </c>
      <c r="B306" s="180" t="n">
        <v>45839</v>
      </c>
      <c r="C306" s="174" t="inlineStr">
        <is>
          <t xml:space="preserve">Tour Viator Port Douglas </t>
        </is>
      </c>
      <c r="D306" s="174" t="inlineStr">
        <is>
          <t xml:space="preserve">Activity </t>
        </is>
      </c>
      <c r="E306" s="275" t="n">
        <v>530</v>
      </c>
      <c r="F306" s="174" t="inlineStr">
        <is>
          <t>NAB Credit Card</t>
        </is>
      </c>
    </row>
    <row r="307">
      <c r="A307" s="174" t="inlineStr">
        <is>
          <t>QLD 25</t>
        </is>
      </c>
      <c r="B307" s="180" t="n">
        <v>45839</v>
      </c>
      <c r="C307" s="174" t="inlineStr">
        <is>
          <t xml:space="preserve">Port Douglas Transfer </t>
        </is>
      </c>
      <c r="D307" s="174" t="inlineStr">
        <is>
          <t xml:space="preserve">Transport/Transfer </t>
        </is>
      </c>
      <c r="E307" s="275" t="n">
        <v>233</v>
      </c>
      <c r="F307" s="174" t="inlineStr">
        <is>
          <t>NAB Credit Card</t>
        </is>
      </c>
    </row>
    <row r="308">
      <c r="A308" s="174" t="inlineStr">
        <is>
          <t>QLD 25</t>
        </is>
      </c>
      <c r="B308" s="180" t="n">
        <v>45839</v>
      </c>
      <c r="C308" s="174" t="inlineStr">
        <is>
          <t xml:space="preserve">Sheraton Grand Mirage </t>
        </is>
      </c>
      <c r="D308" s="174" t="inlineStr">
        <is>
          <t xml:space="preserve">Accomodation </t>
        </is>
      </c>
      <c r="E308" s="275" t="n">
        <v>140</v>
      </c>
      <c r="F308" s="174" t="inlineStr">
        <is>
          <t>NAB Credit Card</t>
        </is>
      </c>
    </row>
    <row r="309">
      <c r="A309" s="174" t="inlineStr">
        <is>
          <t>QLD 25</t>
        </is>
      </c>
      <c r="B309" s="180" t="n">
        <v>45839</v>
      </c>
      <c r="C309" s="174" t="inlineStr">
        <is>
          <t xml:space="preserve">Sheraton Grand Mirage </t>
        </is>
      </c>
      <c r="D309" s="174" t="inlineStr">
        <is>
          <t xml:space="preserve">Accomodation </t>
        </is>
      </c>
      <c r="E309" s="275" t="n">
        <v>3009</v>
      </c>
      <c r="F309" s="174" t="inlineStr">
        <is>
          <t>NAB Credit Card</t>
        </is>
      </c>
    </row>
    <row r="310">
      <c r="A310" s="174" t="inlineStr">
        <is>
          <t>QLD 25</t>
        </is>
      </c>
      <c r="B310" s="180" t="n">
        <v>45839</v>
      </c>
      <c r="C310" s="174" t="inlineStr">
        <is>
          <t xml:space="preserve">Pop Eyes Take Away </t>
        </is>
      </c>
      <c r="D310" s="174" t="inlineStr">
        <is>
          <t xml:space="preserve">Resturant </t>
        </is>
      </c>
      <c r="E310" s="275" t="n">
        <v>90</v>
      </c>
      <c r="F310" s="174" t="inlineStr">
        <is>
          <t>NAB Credit Card</t>
        </is>
      </c>
    </row>
    <row r="311">
      <c r="A311" s="174" t="inlineStr">
        <is>
          <t>QLD 25</t>
        </is>
      </c>
      <c r="B311" s="180" t="n">
        <v>45839</v>
      </c>
      <c r="C311" s="174" t="inlineStr">
        <is>
          <t xml:space="preserve">Golf Club House Lunch </t>
        </is>
      </c>
      <c r="D311" s="174" t="inlineStr">
        <is>
          <t xml:space="preserve">Resturant </t>
        </is>
      </c>
      <c r="E311" s="275" t="n">
        <v>450</v>
      </c>
      <c r="F311" s="174" t="inlineStr">
        <is>
          <t>NAB Credit Card</t>
        </is>
      </c>
    </row>
    <row r="312">
      <c r="A312" s="174" t="inlineStr">
        <is>
          <t>QLD 25</t>
        </is>
      </c>
      <c r="B312" s="180" t="n">
        <v>45839</v>
      </c>
      <c r="C312" s="174" t="inlineStr">
        <is>
          <t xml:space="preserve">Pebble Beach Dinner </t>
        </is>
      </c>
      <c r="D312" s="174" t="inlineStr">
        <is>
          <t xml:space="preserve">Resturant </t>
        </is>
      </c>
      <c r="E312" s="275" t="n">
        <v>623</v>
      </c>
      <c r="F312" s="174" t="inlineStr">
        <is>
          <t>NAB Credit Card</t>
        </is>
      </c>
    </row>
    <row r="313">
      <c r="A313" s="174" t="inlineStr">
        <is>
          <t>QLD 25</t>
        </is>
      </c>
      <c r="B313" s="180" t="n">
        <v>45839</v>
      </c>
      <c r="C313" s="174" t="inlineStr">
        <is>
          <t>Spa Wumurdaylin</t>
        </is>
      </c>
      <c r="D313" s="174" t="inlineStr">
        <is>
          <t xml:space="preserve">Activity </t>
        </is>
      </c>
      <c r="E313" s="275" t="n">
        <v>320</v>
      </c>
      <c r="F313" s="174" t="inlineStr">
        <is>
          <t>NAB Credit Card</t>
        </is>
      </c>
    </row>
    <row r="314">
      <c r="A314" s="174" t="inlineStr">
        <is>
          <t>QLD 25</t>
        </is>
      </c>
      <c r="B314" s="180" t="n">
        <v>45839</v>
      </c>
      <c r="C314" s="174" t="inlineStr">
        <is>
          <t xml:space="preserve">Pool Terrence Resturant </t>
        </is>
      </c>
      <c r="D314" s="174" t="inlineStr">
        <is>
          <t xml:space="preserve">Resturant </t>
        </is>
      </c>
      <c r="E314" s="275" t="n">
        <v>131</v>
      </c>
      <c r="F314" s="174" t="inlineStr">
        <is>
          <t>NAB Credit Card</t>
        </is>
      </c>
    </row>
    <row r="315">
      <c r="A315" s="174" t="inlineStr">
        <is>
          <t>QLD 25</t>
        </is>
      </c>
      <c r="B315" s="180" t="n">
        <v>45839</v>
      </c>
      <c r="C315" s="174" t="inlineStr">
        <is>
          <t xml:space="preserve">Coca Chu </t>
        </is>
      </c>
      <c r="D315" s="174" t="inlineStr">
        <is>
          <t xml:space="preserve">Resturant </t>
        </is>
      </c>
      <c r="E315" s="275" t="n">
        <v>221</v>
      </c>
      <c r="F315" s="174" t="inlineStr">
        <is>
          <t>NAB Credit Card</t>
        </is>
      </c>
    </row>
    <row r="316">
      <c r="A316" s="174" t="inlineStr">
        <is>
          <t>QLD 25</t>
        </is>
      </c>
      <c r="B316" s="180" t="n">
        <v>45839</v>
      </c>
      <c r="C316" s="174" t="inlineStr">
        <is>
          <t xml:space="preserve">Port Douglas Transfer </t>
        </is>
      </c>
      <c r="D316" s="174" t="inlineStr">
        <is>
          <t xml:space="preserve">Transport/Transfer </t>
        </is>
      </c>
      <c r="E316" s="275" t="n">
        <v>223</v>
      </c>
      <c r="F316" s="174" t="inlineStr">
        <is>
          <t>NAB Credit Card</t>
        </is>
      </c>
    </row>
    <row r="317">
      <c r="A317" s="174" t="inlineStr">
        <is>
          <t>QLD 25</t>
        </is>
      </c>
      <c r="B317" s="180" t="n">
        <v>45809</v>
      </c>
      <c r="C317" s="174" t="inlineStr">
        <is>
          <t xml:space="preserve">Whitsundays Boat Transfer </t>
        </is>
      </c>
      <c r="D317" s="174" t="inlineStr">
        <is>
          <t xml:space="preserve">Transport / Transfer </t>
        </is>
      </c>
      <c r="E317" s="275" t="n">
        <v>185</v>
      </c>
      <c r="F317" s="174" t="inlineStr">
        <is>
          <t>NAB Credit Card</t>
        </is>
      </c>
    </row>
    <row r="318">
      <c r="A318" s="174" t="inlineStr">
        <is>
          <t>QLD 25</t>
        </is>
      </c>
      <c r="B318" s="180" t="n">
        <v>45809</v>
      </c>
      <c r="C318" s="174" t="inlineStr">
        <is>
          <t xml:space="preserve">Hamilton Island Accom </t>
        </is>
      </c>
      <c r="D318" s="174" t="inlineStr">
        <is>
          <t xml:space="preserve">Accomodation </t>
        </is>
      </c>
      <c r="E318" s="275" t="n">
        <v>721</v>
      </c>
      <c r="F318" s="174" t="inlineStr">
        <is>
          <t>NAB Credit Card</t>
        </is>
      </c>
    </row>
    <row r="319">
      <c r="A319" s="174" t="inlineStr">
        <is>
          <t>QLD 25</t>
        </is>
      </c>
      <c r="B319" s="180" t="n">
        <v>45809</v>
      </c>
      <c r="C319" s="174" t="inlineStr">
        <is>
          <t xml:space="preserve">Jetstar Flights - Hamilton </t>
        </is>
      </c>
      <c r="D319" s="174" t="inlineStr">
        <is>
          <t>Flights</t>
        </is>
      </c>
      <c r="E319" s="275" t="n">
        <v>635</v>
      </c>
      <c r="F319" s="174" t="inlineStr">
        <is>
          <t>NAB Credit Card</t>
        </is>
      </c>
    </row>
    <row r="320">
      <c r="A320" s="174" t="inlineStr">
        <is>
          <t>QLD 25</t>
        </is>
      </c>
      <c r="B320" s="180" t="n">
        <v>45809</v>
      </c>
      <c r="C320" s="174" t="inlineStr">
        <is>
          <t xml:space="preserve">Skytrans Port Douglas Flight </t>
        </is>
      </c>
      <c r="D320" s="174" t="inlineStr">
        <is>
          <t>Flights</t>
        </is>
      </c>
      <c r="E320" s="275" t="n">
        <v>600</v>
      </c>
      <c r="F320" s="174" t="inlineStr">
        <is>
          <t>NAB Credit Card</t>
        </is>
      </c>
    </row>
    <row r="321">
      <c r="A321" s="174" t="inlineStr">
        <is>
          <t>QLD 25</t>
        </is>
      </c>
      <c r="B321" s="180" t="n">
        <v>45809</v>
      </c>
      <c r="C321" s="174" t="inlineStr">
        <is>
          <t xml:space="preserve">Hamilton Island Flight Virgin </t>
        </is>
      </c>
      <c r="D321" s="174" t="inlineStr">
        <is>
          <t>Flights</t>
        </is>
      </c>
      <c r="E321" s="275" t="n">
        <v>601</v>
      </c>
      <c r="F321" s="174" t="inlineStr">
        <is>
          <t>NAB Credit Card</t>
        </is>
      </c>
    </row>
    <row r="322">
      <c r="A322" s="174" t="inlineStr">
        <is>
          <t>QLD 25</t>
        </is>
      </c>
      <c r="B322" s="180" t="n">
        <v>45809</v>
      </c>
      <c r="C322" s="180" t="inlineStr">
        <is>
          <t xml:space="preserve">Port Douglas Scuba Diving </t>
        </is>
      </c>
      <c r="D322" s="174" t="inlineStr">
        <is>
          <t xml:space="preserve">Activity </t>
        </is>
      </c>
      <c r="E322" s="275" t="n">
        <v>772</v>
      </c>
      <c r="F322" s="174" t="inlineStr">
        <is>
          <t>NAB Credit Card</t>
        </is>
      </c>
    </row>
    <row r="323">
      <c r="A323" s="174" t="inlineStr">
        <is>
          <t>QLD 25</t>
        </is>
      </c>
      <c r="B323" s="180" t="n">
        <v>45809</v>
      </c>
      <c r="C323" s="180" t="inlineStr">
        <is>
          <t xml:space="preserve">Hamilton Island Daydream Island Boat </t>
        </is>
      </c>
      <c r="D323" s="174" t="inlineStr">
        <is>
          <t xml:space="preserve">Activity </t>
        </is>
      </c>
      <c r="E323" s="275" t="n">
        <v>505</v>
      </c>
      <c r="F323" s="174" t="inlineStr">
        <is>
          <t>NAB Credit Card</t>
        </is>
      </c>
    </row>
    <row r="324">
      <c r="A324" s="174" t="inlineStr">
        <is>
          <t>QLD 25</t>
        </is>
      </c>
      <c r="B324" s="180" t="n">
        <v>45809</v>
      </c>
      <c r="C324" s="174" t="inlineStr">
        <is>
          <t xml:space="preserve">Port Douglas Scuba Diving </t>
        </is>
      </c>
      <c r="D324" s="174" t="inlineStr">
        <is>
          <t xml:space="preserve">Activity </t>
        </is>
      </c>
      <c r="E324" s="275" t="n">
        <v>772</v>
      </c>
      <c r="F324" s="174" t="inlineStr">
        <is>
          <t>NAB Credit Card</t>
        </is>
      </c>
    </row>
    <row r="325">
      <c r="A325" s="174" t="inlineStr">
        <is>
          <t>QLD 25</t>
        </is>
      </c>
      <c r="B325" s="180" t="n">
        <v>45809</v>
      </c>
      <c r="C325" s="174" t="inlineStr">
        <is>
          <t xml:space="preserve">Hamilton Island Daydream Island Boat </t>
        </is>
      </c>
      <c r="D325" s="174" t="inlineStr">
        <is>
          <t xml:space="preserve">Activity </t>
        </is>
      </c>
      <c r="E325" s="275" t="n">
        <v>505</v>
      </c>
      <c r="F325" s="174" t="inlineStr">
        <is>
          <t>NAB Credit Card</t>
        </is>
      </c>
    </row>
    <row r="326">
      <c r="A326" s="174" t="inlineStr">
        <is>
          <t>Sale 25</t>
        </is>
      </c>
      <c r="B326" s="180" t="n">
        <v>45748</v>
      </c>
      <c r="C326" s="174" t="inlineStr">
        <is>
          <t xml:space="preserve">Air bnb </t>
        </is>
      </c>
      <c r="D326" s="174" t="inlineStr">
        <is>
          <t xml:space="preserve">Accomodation </t>
        </is>
      </c>
      <c r="E326" s="275" t="n">
        <v>228</v>
      </c>
    </row>
    <row r="327">
      <c r="A327" s="174" t="inlineStr">
        <is>
          <t>Sydney 24</t>
        </is>
      </c>
      <c r="B327" s="180" t="n">
        <v>45383</v>
      </c>
      <c r="C327" s="174" t="inlineStr">
        <is>
          <t xml:space="preserve">Airbnb </t>
        </is>
      </c>
      <c r="D327" s="174" t="inlineStr">
        <is>
          <t xml:space="preserve">Accomodation </t>
        </is>
      </c>
      <c r="E327" s="275" t="n">
        <v>1411</v>
      </c>
    </row>
    <row r="328">
      <c r="A328" s="174" t="inlineStr">
        <is>
          <t>Sydney 26</t>
        </is>
      </c>
      <c r="B328" s="177" t="n">
        <v>45870</v>
      </c>
      <c r="C328" s="437" t="inlineStr">
        <is>
          <t xml:space="preserve">Air-BNB - Sydney </t>
        </is>
      </c>
      <c r="D328" s="174" t="inlineStr">
        <is>
          <t xml:space="preserve">Accomodation </t>
        </is>
      </c>
      <c r="E328" s="275" t="n">
        <v>4612</v>
      </c>
      <c r="F328" s="174" t="inlineStr">
        <is>
          <t>NAB Credit Card</t>
        </is>
      </c>
    </row>
    <row r="329">
      <c r="A329" s="174" t="inlineStr">
        <is>
          <t>Sydney 26</t>
        </is>
      </c>
      <c r="B329" s="177" t="n">
        <v>45870</v>
      </c>
      <c r="C329" s="174" t="inlineStr">
        <is>
          <t xml:space="preserve">Jetstar Flights - Sydney </t>
        </is>
      </c>
      <c r="D329" s="174" t="inlineStr">
        <is>
          <t>Flights</t>
        </is>
      </c>
      <c r="E329" s="275" t="n">
        <v>1217</v>
      </c>
      <c r="F329" s="174" t="inlineStr">
        <is>
          <t>NAB Credit Card</t>
        </is>
      </c>
    </row>
    <row r="330">
      <c r="A330" s="174" t="inlineStr">
        <is>
          <t>Tasmania 25</t>
        </is>
      </c>
      <c r="B330" s="180" t="n">
        <v>45717</v>
      </c>
      <c r="C330" s="174" t="inlineStr">
        <is>
          <t xml:space="preserve">Air bnb </t>
        </is>
      </c>
      <c r="D330" s="174" t="inlineStr">
        <is>
          <t xml:space="preserve">Accomodation </t>
        </is>
      </c>
      <c r="E330" s="275" t="n">
        <v>850</v>
      </c>
    </row>
    <row r="331">
      <c r="A331" s="174" t="inlineStr">
        <is>
          <t>Tasmania 25</t>
        </is>
      </c>
      <c r="B331" s="180" t="n">
        <v>45717</v>
      </c>
      <c r="C331" s="174" t="inlineStr">
        <is>
          <t xml:space="preserve">Bargin Car Rentals Tasmania </t>
        </is>
      </c>
      <c r="D331" s="174" t="inlineStr">
        <is>
          <t xml:space="preserve">Transport / Transfer </t>
        </is>
      </c>
      <c r="E331" s="275" t="n">
        <v>395</v>
      </c>
      <c r="F331" s="174" t="inlineStr">
        <is>
          <t>NAB Credit Card</t>
        </is>
      </c>
    </row>
    <row r="332">
      <c r="A332" s="174" t="inlineStr">
        <is>
          <t>Tasmania 25</t>
        </is>
      </c>
      <c r="B332" s="180" t="n">
        <v>45717</v>
      </c>
      <c r="C332" s="174" t="inlineStr">
        <is>
          <t xml:space="preserve">Mona Art </t>
        </is>
      </c>
      <c r="D332" s="174" t="inlineStr">
        <is>
          <t xml:space="preserve">Activity </t>
        </is>
      </c>
      <c r="E332" s="275" t="n">
        <v>201</v>
      </c>
      <c r="F332" s="174" t="inlineStr">
        <is>
          <t>NAB Credit Card</t>
        </is>
      </c>
    </row>
    <row r="333">
      <c r="A333" s="174" t="inlineStr">
        <is>
          <t>Tasmania 25</t>
        </is>
      </c>
      <c r="B333" s="180" t="n">
        <v>45717</v>
      </c>
      <c r="C333" s="174" t="inlineStr">
        <is>
          <t xml:space="preserve">Omotenashi Tasmania Resturant </t>
        </is>
      </c>
      <c r="D333" s="174" t="inlineStr">
        <is>
          <t xml:space="preserve">Resturant </t>
        </is>
      </c>
      <c r="E333" s="275" t="n">
        <v>550</v>
      </c>
      <c r="F333" s="174" t="inlineStr">
        <is>
          <t xml:space="preserve">Westpac Joint </t>
        </is>
      </c>
    </row>
    <row r="334">
      <c r="A334" s="174" t="inlineStr">
        <is>
          <t>Tasmania 25</t>
        </is>
      </c>
      <c r="B334" s="180" t="n">
        <v>45717</v>
      </c>
      <c r="C334" s="174" t="inlineStr">
        <is>
          <t xml:space="preserve">Bar Wa Izakaya Tasmania Resturant </t>
        </is>
      </c>
      <c r="D334" s="174" t="inlineStr">
        <is>
          <t xml:space="preserve">Resturant </t>
        </is>
      </c>
      <c r="E334" s="275" t="n">
        <v>113</v>
      </c>
      <c r="F334" s="174" t="inlineStr">
        <is>
          <t xml:space="preserve">Westpac Joint </t>
        </is>
      </c>
    </row>
    <row r="335">
      <c r="A335" s="174" t="inlineStr">
        <is>
          <t>Tasmania 25</t>
        </is>
      </c>
      <c r="B335" s="180" t="n">
        <v>45717</v>
      </c>
      <c r="C335" s="174" t="inlineStr">
        <is>
          <t xml:space="preserve">Sonny Resturant Tasmania </t>
        </is>
      </c>
      <c r="D335" s="174" t="inlineStr">
        <is>
          <t xml:space="preserve">Resturant </t>
        </is>
      </c>
      <c r="E335" s="275" t="n">
        <v>230</v>
      </c>
      <c r="F335" s="174" t="inlineStr">
        <is>
          <t xml:space="preserve">Westpac Joint </t>
        </is>
      </c>
    </row>
    <row r="336">
      <c r="A336" s="174" t="inlineStr">
        <is>
          <t>Tasmania 25</t>
        </is>
      </c>
      <c r="B336" s="180" t="n">
        <v>45627</v>
      </c>
      <c r="C336" s="174" t="inlineStr">
        <is>
          <t xml:space="preserve">Brunny Cheese Island - Tasmania </t>
        </is>
      </c>
      <c r="D336" s="174" t="inlineStr">
        <is>
          <t xml:space="preserve">Resturant </t>
        </is>
      </c>
      <c r="E336" s="275" t="n">
        <v>80</v>
      </c>
      <c r="F336" s="174" t="inlineStr">
        <is>
          <t xml:space="preserve">NAB Credit </t>
        </is>
      </c>
    </row>
    <row r="337">
      <c r="A337" s="174" t="inlineStr">
        <is>
          <t>Tasmania 25</t>
        </is>
      </c>
      <c r="B337" s="180" t="n">
        <v>45323</v>
      </c>
      <c r="C337" s="174" t="inlineStr">
        <is>
          <t xml:space="preserve">Airbnb Tas </t>
        </is>
      </c>
      <c r="D337" s="174" t="inlineStr">
        <is>
          <t xml:space="preserve">Accomodation </t>
        </is>
      </c>
      <c r="E337" s="275" t="n">
        <v>475</v>
      </c>
      <c r="F337" s="174" t="inlineStr">
        <is>
          <t>NAB Credit Card</t>
        </is>
      </c>
    </row>
    <row r="338">
      <c r="A338" s="174" t="inlineStr">
        <is>
          <t>Daylesford 25</t>
        </is>
      </c>
      <c r="B338" s="180" t="n">
        <v>45901</v>
      </c>
      <c r="C338" s="174" t="inlineStr">
        <is>
          <t xml:space="preserve">Convent Gallery </t>
        </is>
      </c>
      <c r="D338" s="174" t="inlineStr">
        <is>
          <t xml:space="preserve">Activity </t>
        </is>
      </c>
      <c r="E338" s="275" t="n">
        <v>20</v>
      </c>
      <c r="F338" s="174" t="inlineStr">
        <is>
          <t xml:space="preserve">NAB Credit Card </t>
        </is>
      </c>
    </row>
    <row r="339">
      <c r="A339" s="174" t="inlineStr">
        <is>
          <t>Daylesford 25</t>
        </is>
      </c>
      <c r="B339" s="180" t="n">
        <v>45901</v>
      </c>
      <c r="C339" s="174" t="inlineStr">
        <is>
          <t xml:space="preserve">Royal Daysford Hotel, GF Day </t>
        </is>
      </c>
      <c r="D339" s="174" t="inlineStr">
        <is>
          <t xml:space="preserve">Resturant </t>
        </is>
      </c>
      <c r="E339" s="275" t="n">
        <v>120</v>
      </c>
      <c r="F339" s="174" t="inlineStr">
        <is>
          <t xml:space="preserve">NAB Credit Card </t>
        </is>
      </c>
    </row>
    <row r="340">
      <c r="A340" s="174" t="inlineStr">
        <is>
          <t>Daylesford 25</t>
        </is>
      </c>
      <c r="B340" s="180" t="n">
        <v>45901</v>
      </c>
      <c r="C340" s="174" t="inlineStr">
        <is>
          <t xml:space="preserve">Lakehouse, Birthday Lunch </t>
        </is>
      </c>
      <c r="D340" s="174" t="inlineStr">
        <is>
          <t xml:space="preserve">Resturant </t>
        </is>
      </c>
      <c r="E340" s="275" t="n">
        <v>650</v>
      </c>
      <c r="F340" s="174" t="inlineStr">
        <is>
          <t xml:space="preserve">NAB Credit Card </t>
        </is>
      </c>
    </row>
    <row r="341">
      <c r="A341" s="174" t="inlineStr">
        <is>
          <t xml:space="preserve">Dayslesford </t>
        </is>
      </c>
      <c r="B341" s="180" t="n">
        <v>45901</v>
      </c>
      <c r="C341" s="174" t="inlineStr">
        <is>
          <t xml:space="preserve">Betal Boy </t>
        </is>
      </c>
      <c r="D341" s="174" t="inlineStr">
        <is>
          <t xml:space="preserve">Resturant </t>
        </is>
      </c>
      <c r="E341" s="275" t="n">
        <v>90</v>
      </c>
      <c r="F341" s="174" t="inlineStr">
        <is>
          <t xml:space="preserve">NAB Credit Card </t>
        </is>
      </c>
    </row>
    <row r="342">
      <c r="B342" s="180" t="n"/>
      <c r="E342" s="275" t="n"/>
    </row>
    <row r="343"/>
    <row r="344"/>
    <row r="345" ht="21" customHeight="1">
      <c r="B345" s="266" t="inlineStr">
        <is>
          <t xml:space="preserve">Fun </t>
        </is>
      </c>
      <c r="C345" s="266" t="n"/>
      <c r="D345" s="266" t="n"/>
      <c r="E345" s="266" t="n"/>
      <c r="F345" s="266" t="n"/>
    </row>
    <row r="346">
      <c r="B346" s="174" t="inlineStr">
        <is>
          <t xml:space="preserve">Date </t>
        </is>
      </c>
      <c r="C346" s="174" t="inlineStr">
        <is>
          <t xml:space="preserve">Item </t>
        </is>
      </c>
      <c r="D346" s="174" t="inlineStr">
        <is>
          <t xml:space="preserve">Sub Item </t>
        </is>
      </c>
      <c r="E346" s="174" t="inlineStr">
        <is>
          <t xml:space="preserve">Cost </t>
        </is>
      </c>
      <c r="F346" s="174" t="inlineStr">
        <is>
          <t xml:space="preserve">Payment Method </t>
        </is>
      </c>
    </row>
    <row r="347">
      <c r="B347" s="180" t="n">
        <v>45901</v>
      </c>
      <c r="C347" s="174" t="inlineStr">
        <is>
          <t xml:space="preserve">Bowling &amp; Arcade with Test Spouse </t>
        </is>
      </c>
      <c r="D347" s="174" t="inlineStr">
        <is>
          <t xml:space="preserve">Test Spouse </t>
        </is>
      </c>
      <c r="E347" s="275" t="n">
        <v>150</v>
      </c>
      <c r="F347" s="174" t="inlineStr">
        <is>
          <t>NAB Credit Card</t>
        </is>
      </c>
    </row>
    <row r="348">
      <c r="B348" s="180" t="n">
        <v>45901</v>
      </c>
      <c r="C348" s="174" t="inlineStr">
        <is>
          <t xml:space="preserve">AFL Hawthorn VS Geelong </t>
        </is>
      </c>
      <c r="D348" s="174" t="inlineStr">
        <is>
          <t xml:space="preserve">Friends </t>
        </is>
      </c>
      <c r="E348" s="275" t="n">
        <v>70</v>
      </c>
      <c r="F348" s="174" t="inlineStr">
        <is>
          <t>NAB Credit Card</t>
        </is>
      </c>
    </row>
    <row r="349">
      <c r="B349" s="180" t="n">
        <v>45658</v>
      </c>
      <c r="C349" s="174" t="inlineStr">
        <is>
          <t xml:space="preserve">Australian Open </t>
        </is>
      </c>
      <c r="D349" s="174" t="inlineStr">
        <is>
          <t xml:space="preserve">Test Spouse </t>
        </is>
      </c>
      <c r="E349" s="275" t="n">
        <v>250</v>
      </c>
      <c r="F349" s="174" t="inlineStr">
        <is>
          <t>NAB Credit Card</t>
        </is>
      </c>
    </row>
    <row r="350">
      <c r="B350" s="180" t="n">
        <v>45778</v>
      </c>
      <c r="C350" s="174" t="inlineStr">
        <is>
          <t xml:space="preserve">Alba Hot Springs </t>
        </is>
      </c>
      <c r="D350" s="174" t="inlineStr">
        <is>
          <t xml:space="preserve">Test Spouse </t>
        </is>
      </c>
      <c r="E350" s="275" t="n">
        <v>180</v>
      </c>
      <c r="F350" s="174" t="inlineStr">
        <is>
          <t xml:space="preserve">Westpac Joint </t>
        </is>
      </c>
    </row>
    <row r="351">
      <c r="B351" s="180" t="n">
        <v>45748</v>
      </c>
      <c r="C351" s="174" t="inlineStr">
        <is>
          <t xml:space="preserve">Titanic Voyage Experience </t>
        </is>
      </c>
      <c r="D351" s="174" t="inlineStr">
        <is>
          <t xml:space="preserve">Test Spouse </t>
        </is>
      </c>
      <c r="E351" s="275" t="n">
        <v>100</v>
      </c>
      <c r="F351" s="275" t="inlineStr">
        <is>
          <t xml:space="preserve">Westpac Joint </t>
        </is>
      </c>
    </row>
    <row r="352">
      <c r="B352" s="180" t="n">
        <v>45717</v>
      </c>
      <c r="C352" s="174" t="inlineStr">
        <is>
          <t xml:space="preserve">National Gallery </t>
        </is>
      </c>
      <c r="D352" s="174" t="inlineStr">
        <is>
          <t xml:space="preserve">Test Spouse </t>
        </is>
      </c>
      <c r="E352" s="275" t="n">
        <v>100</v>
      </c>
      <c r="F352" s="275" t="inlineStr">
        <is>
          <t xml:space="preserve">Westpac Joint </t>
        </is>
      </c>
    </row>
    <row r="353">
      <c r="B353" s="180" t="n">
        <v>45689</v>
      </c>
      <c r="C353" s="174" t="inlineStr">
        <is>
          <t xml:space="preserve">Valantines Day - Lume Experience </t>
        </is>
      </c>
      <c r="D353" s="174" t="inlineStr">
        <is>
          <t xml:space="preserve">Test Spouse </t>
        </is>
      </c>
      <c r="E353" s="275" t="n">
        <v>150</v>
      </c>
      <c r="F353" s="275" t="inlineStr">
        <is>
          <t xml:space="preserve">Westpac Joint </t>
        </is>
      </c>
    </row>
    <row r="354">
      <c r="B354" s="180" t="n">
        <v>45536</v>
      </c>
      <c r="C354" s="174" t="inlineStr">
        <is>
          <t xml:space="preserve">Yarra Bend Golf Alphinton </t>
        </is>
      </c>
      <c r="D354" s="174" t="inlineStr">
        <is>
          <t xml:space="preserve">Friends </t>
        </is>
      </c>
      <c r="E354" s="275" t="n">
        <v>300</v>
      </c>
      <c r="F354" s="275" t="inlineStr">
        <is>
          <t>NAB Credit old</t>
        </is>
      </c>
    </row>
    <row r="355">
      <c r="B355" s="180" t="n">
        <v>45962</v>
      </c>
      <c r="C355" s="174" t="inlineStr">
        <is>
          <t xml:space="preserve">Boat Hire &amp; Equiptment </t>
        </is>
      </c>
      <c r="D355" s="174" t="inlineStr">
        <is>
          <t xml:space="preserve">Test Spouse and Friends </t>
        </is>
      </c>
      <c r="E355" s="431" t="n">
        <v>200</v>
      </c>
      <c r="F355" s="174" t="inlineStr">
        <is>
          <t xml:space="preserve">NAB Offset </t>
        </is>
      </c>
    </row>
    <row r="356">
      <c r="B356" s="180" t="n">
        <v>45901</v>
      </c>
      <c r="C356" s="174" t="inlineStr">
        <is>
          <t xml:space="preserve">Fomo Cinema </t>
        </is>
      </c>
      <c r="D356" s="174" t="inlineStr">
        <is>
          <t xml:space="preserve">Test Spouse </t>
        </is>
      </c>
      <c r="E356" s="431" t="n">
        <v>55</v>
      </c>
      <c r="F356" s="174" t="inlineStr">
        <is>
          <t xml:space="preserve">NAB Credit </t>
        </is>
      </c>
    </row>
    <row r="357">
      <c r="B357" s="180" t="n">
        <v>45931</v>
      </c>
      <c r="C357" s="174" t="inlineStr">
        <is>
          <t xml:space="preserve">Friend Fifteen Party </t>
        </is>
      </c>
      <c r="D357" s="174" t="inlineStr">
        <is>
          <t xml:space="preserve">Friends </t>
        </is>
      </c>
      <c r="E357" s="431" t="n">
        <v>220</v>
      </c>
      <c r="F357" s="174" t="inlineStr">
        <is>
          <t xml:space="preserve">NAB Credit </t>
        </is>
      </c>
    </row>
    <row r="358">
      <c r="B358" s="180" t="n"/>
    </row>
    <row r="359"/>
    <row r="360"/>
    <row r="361" ht="21" customHeight="1">
      <c r="B361" s="266" t="inlineStr">
        <is>
          <t xml:space="preserve">Test Spouse </t>
        </is>
      </c>
      <c r="C361" s="266" t="n"/>
      <c r="D361" s="266" t="n"/>
      <c r="E361" s="266" t="n"/>
      <c r="F361" s="266" t="n"/>
    </row>
    <row r="362">
      <c r="B362" s="174" t="inlineStr">
        <is>
          <t xml:space="preserve">Date </t>
        </is>
      </c>
      <c r="C362" s="174" t="inlineStr">
        <is>
          <t xml:space="preserve">Item </t>
        </is>
      </c>
      <c r="D362" s="174" t="inlineStr">
        <is>
          <t xml:space="preserve">Sub category </t>
        </is>
      </c>
      <c r="E362" s="174" t="inlineStr">
        <is>
          <t xml:space="preserve">Cost </t>
        </is>
      </c>
      <c r="F362" s="174" t="inlineStr">
        <is>
          <t xml:space="preserve">Payment Method </t>
        </is>
      </c>
    </row>
    <row r="363">
      <c r="B363" s="180" t="n">
        <v>45901</v>
      </c>
      <c r="C363" s="174" t="inlineStr">
        <is>
          <t xml:space="preserve">What the put </t>
        </is>
      </c>
      <c r="D363" s="437" t="inlineStr">
        <is>
          <t xml:space="preserve">Fun - Activity </t>
        </is>
      </c>
      <c r="E363" s="275" t="n">
        <v>50</v>
      </c>
      <c r="F363" s="174" t="inlineStr">
        <is>
          <t xml:space="preserve">Westpac </t>
        </is>
      </c>
    </row>
    <row r="364">
      <c r="B364" s="180" t="n">
        <v>45901</v>
      </c>
      <c r="C364" s="174" t="inlineStr">
        <is>
          <t xml:space="preserve">Lovisa </t>
        </is>
      </c>
      <c r="D364" s="174" t="inlineStr">
        <is>
          <t xml:space="preserve">Clothing </t>
        </is>
      </c>
      <c r="E364" s="275" t="n">
        <v>82</v>
      </c>
      <c r="F364" s="174" t="inlineStr">
        <is>
          <t xml:space="preserve">Westpac </t>
        </is>
      </c>
    </row>
    <row r="365">
      <c r="B365" s="180" t="n">
        <v>45901</v>
      </c>
      <c r="C365" s="174" t="inlineStr">
        <is>
          <t xml:space="preserve">Kmart </t>
        </is>
      </c>
      <c r="D365" s="174" t="inlineStr">
        <is>
          <t xml:space="preserve">Home Décor </t>
        </is>
      </c>
      <c r="E365" s="275" t="n">
        <v>71</v>
      </c>
      <c r="F365" s="174" t="inlineStr">
        <is>
          <t xml:space="preserve">Westpac </t>
        </is>
      </c>
    </row>
    <row r="366">
      <c r="B366" s="180" t="n">
        <v>45901</v>
      </c>
      <c r="C366" s="174" t="inlineStr">
        <is>
          <t xml:space="preserve">Core Plus - monthly </t>
        </is>
      </c>
      <c r="D366" s="174" t="inlineStr">
        <is>
          <t xml:space="preserve">Exercise </t>
        </is>
      </c>
      <c r="E366" s="275" t="n">
        <v>200</v>
      </c>
      <c r="F366" s="174" t="inlineStr">
        <is>
          <t xml:space="preserve">Westpac </t>
        </is>
      </c>
    </row>
    <row r="367">
      <c r="B367" s="180" t="n">
        <v>45901</v>
      </c>
      <c r="C367" s="174" t="inlineStr">
        <is>
          <t xml:space="preserve">Spotify </t>
        </is>
      </c>
      <c r="D367" s="174" t="inlineStr">
        <is>
          <t xml:space="preserve">Subscriptions </t>
        </is>
      </c>
      <c r="E367" s="275" t="n">
        <v>16</v>
      </c>
      <c r="F367" s="174" t="inlineStr">
        <is>
          <t xml:space="preserve">Westpac </t>
        </is>
      </c>
    </row>
    <row r="368">
      <c r="B368" s="180" t="n">
        <v>45901</v>
      </c>
      <c r="C368" s="174" t="inlineStr">
        <is>
          <t xml:space="preserve">Inner North Medical </t>
        </is>
      </c>
      <c r="D368" s="174" t="inlineStr">
        <is>
          <t xml:space="preserve">Doctor </t>
        </is>
      </c>
      <c r="E368" s="275" t="n">
        <v>120</v>
      </c>
      <c r="F368" s="174" t="inlineStr">
        <is>
          <t xml:space="preserve">Westpac </t>
        </is>
      </c>
    </row>
    <row r="369">
      <c r="B369" s="180" t="n">
        <v>45901</v>
      </c>
      <c r="C369" s="174" t="inlineStr">
        <is>
          <t xml:space="preserve">Fever Candle Light </t>
        </is>
      </c>
      <c r="D369" s="174" t="inlineStr">
        <is>
          <t xml:space="preserve">Fun - Activity </t>
        </is>
      </c>
      <c r="E369" s="275" t="n">
        <v>70</v>
      </c>
      <c r="F369" s="174" t="inlineStr">
        <is>
          <t xml:space="preserve">Westpac </t>
        </is>
      </c>
    </row>
    <row r="370">
      <c r="B370" s="180" t="n">
        <v>45901</v>
      </c>
      <c r="C370" s="174" t="inlineStr">
        <is>
          <t xml:space="preserve">American Vintage Clothing </t>
        </is>
      </c>
      <c r="D370" s="174" t="inlineStr">
        <is>
          <t xml:space="preserve">Clothing </t>
        </is>
      </c>
      <c r="E370" s="275" t="n">
        <v>130</v>
      </c>
      <c r="F370" s="174" t="inlineStr">
        <is>
          <t xml:space="preserve">Westpac </t>
        </is>
      </c>
    </row>
    <row r="371">
      <c r="B371" s="180" t="n">
        <v>45870</v>
      </c>
      <c r="C371" s="174" t="inlineStr">
        <is>
          <t xml:space="preserve">Subscription Apple </t>
        </is>
      </c>
      <c r="D371" s="174" t="inlineStr">
        <is>
          <t xml:space="preserve">Subscroption </t>
        </is>
      </c>
      <c r="E371" s="275" t="n">
        <v>14.99</v>
      </c>
      <c r="F371" s="174" t="inlineStr">
        <is>
          <t xml:space="preserve">Westpac </t>
        </is>
      </c>
    </row>
    <row r="372">
      <c r="B372" s="180" t="n">
        <v>45870</v>
      </c>
      <c r="C372" s="174" t="inlineStr">
        <is>
          <t xml:space="preserve">Fuel </t>
        </is>
      </c>
      <c r="D372" s="174" t="inlineStr">
        <is>
          <t xml:space="preserve">Fuel </t>
        </is>
      </c>
      <c r="E372" s="275" t="n">
        <v>65</v>
      </c>
      <c r="F372" s="174" t="inlineStr">
        <is>
          <t xml:space="preserve">Westpac </t>
        </is>
      </c>
    </row>
    <row r="373">
      <c r="B373" s="180" t="n">
        <v>45870</v>
      </c>
      <c r="C373" s="174" t="inlineStr">
        <is>
          <t xml:space="preserve">Pearson Australia </t>
        </is>
      </c>
      <c r="D373" s="174" t="inlineStr">
        <is>
          <t xml:space="preserve">Education </t>
        </is>
      </c>
      <c r="E373" s="275" t="n">
        <v>130</v>
      </c>
      <c r="F373" s="174" t="inlineStr">
        <is>
          <t xml:space="preserve">Westpac </t>
        </is>
      </c>
    </row>
    <row r="374">
      <c r="B374" s="180" t="n">
        <v>45870</v>
      </c>
      <c r="C374" s="174" t="inlineStr">
        <is>
          <t xml:space="preserve">Dodum Korean </t>
        </is>
      </c>
      <c r="D374" s="174" t="inlineStr">
        <is>
          <t xml:space="preserve">Dinner </t>
        </is>
      </c>
      <c r="E374" s="275" t="n">
        <v>102</v>
      </c>
      <c r="F374" s="174" t="inlineStr">
        <is>
          <t xml:space="preserve">Westpac </t>
        </is>
      </c>
    </row>
    <row r="375">
      <c r="B375" s="180" t="n">
        <v>45870</v>
      </c>
      <c r="C375" s="174" t="inlineStr">
        <is>
          <t xml:space="preserve">E-Test Prep </t>
        </is>
      </c>
      <c r="D375" s="174" t="inlineStr">
        <is>
          <t xml:space="preserve">Education </t>
        </is>
      </c>
      <c r="E375" s="275" t="n">
        <v>60</v>
      </c>
      <c r="F375" s="174" t="inlineStr">
        <is>
          <t xml:space="preserve">Westpac </t>
        </is>
      </c>
    </row>
    <row r="376">
      <c r="B376" s="180" t="n">
        <v>45870</v>
      </c>
      <c r="C376" s="174" t="inlineStr">
        <is>
          <t xml:space="preserve">E-Test Prep </t>
        </is>
      </c>
      <c r="D376" s="174" t="inlineStr">
        <is>
          <t xml:space="preserve">Education </t>
        </is>
      </c>
      <c r="E376" s="275" t="n">
        <v>60</v>
      </c>
      <c r="F376" s="174" t="inlineStr">
        <is>
          <t xml:space="preserve">Westpac </t>
        </is>
      </c>
    </row>
    <row r="377">
      <c r="B377" s="180" t="n">
        <v>45839</v>
      </c>
      <c r="C377" s="174" t="inlineStr">
        <is>
          <t xml:space="preserve">Cotton On </t>
        </is>
      </c>
      <c r="D377" s="174" t="inlineStr">
        <is>
          <t xml:space="preserve">Clothing </t>
        </is>
      </c>
      <c r="E377" s="275" t="n">
        <v>115</v>
      </c>
      <c r="F377" s="174" t="inlineStr">
        <is>
          <t xml:space="preserve">Westpac </t>
        </is>
      </c>
    </row>
    <row r="378">
      <c r="B378" s="180" t="n">
        <v>45839</v>
      </c>
      <c r="C378" s="174" t="inlineStr">
        <is>
          <t>H &amp; M</t>
        </is>
      </c>
      <c r="D378" s="174" t="inlineStr">
        <is>
          <t xml:space="preserve">Clothing </t>
        </is>
      </c>
      <c r="E378" s="275" t="n">
        <v>95</v>
      </c>
      <c r="F378" s="174" t="inlineStr">
        <is>
          <t xml:space="preserve">Westpac </t>
        </is>
      </c>
    </row>
    <row r="379">
      <c r="B379" s="180" t="n">
        <v>45839</v>
      </c>
      <c r="C379" s="174" t="inlineStr">
        <is>
          <t xml:space="preserve">Sephora </t>
        </is>
      </c>
      <c r="D379" s="174" t="inlineStr">
        <is>
          <t xml:space="preserve">Clothing </t>
        </is>
      </c>
      <c r="E379" s="275" t="n">
        <v>50</v>
      </c>
      <c r="F379" s="174" t="inlineStr">
        <is>
          <t xml:space="preserve">Westpac </t>
        </is>
      </c>
    </row>
    <row r="380">
      <c r="B380" s="180" t="n">
        <v>45839</v>
      </c>
      <c r="C380" s="174" t="inlineStr">
        <is>
          <t xml:space="preserve">Pearson Australia </t>
        </is>
      </c>
      <c r="D380" s="174" t="inlineStr">
        <is>
          <t xml:space="preserve">Education </t>
        </is>
      </c>
      <c r="E380" s="275" t="n">
        <v>91</v>
      </c>
      <c r="F380" s="174" t="inlineStr">
        <is>
          <t xml:space="preserve">Westpac </t>
        </is>
      </c>
    </row>
    <row r="381">
      <c r="B381" s="180" t="n">
        <v>45809</v>
      </c>
      <c r="C381" s="174" t="inlineStr">
        <is>
          <t>Zara</t>
        </is>
      </c>
      <c r="D381" s="174" t="inlineStr">
        <is>
          <t xml:space="preserve">Clothing </t>
        </is>
      </c>
      <c r="E381" s="275" t="n">
        <v>239</v>
      </c>
      <c r="F381" s="174" t="inlineStr">
        <is>
          <t xml:space="preserve">Westpac </t>
        </is>
      </c>
    </row>
    <row r="382">
      <c r="B382" s="180" t="n">
        <v>45809</v>
      </c>
      <c r="C382" s="174" t="inlineStr">
        <is>
          <t xml:space="preserve">Northface </t>
        </is>
      </c>
      <c r="D382" s="174" t="inlineStr">
        <is>
          <t xml:space="preserve">Clothing </t>
        </is>
      </c>
      <c r="E382" s="275" t="n">
        <v>450</v>
      </c>
      <c r="F382" s="174" t="inlineStr">
        <is>
          <t xml:space="preserve">Westpac </t>
        </is>
      </c>
    </row>
    <row r="383">
      <c r="B383" s="180" t="n">
        <v>45809</v>
      </c>
      <c r="C383" s="174" t="inlineStr">
        <is>
          <t xml:space="preserve">Anyroom Mansfield </t>
        </is>
      </c>
      <c r="D383" s="174" t="inlineStr">
        <is>
          <t xml:space="preserve">Clothing </t>
        </is>
      </c>
      <c r="E383" s="275" t="n">
        <v>101</v>
      </c>
      <c r="F383" s="174" t="inlineStr">
        <is>
          <t xml:space="preserve">Westpac </t>
        </is>
      </c>
    </row>
    <row r="384">
      <c r="B384" s="180" t="n">
        <v>45809</v>
      </c>
      <c r="C384" s="174" t="inlineStr">
        <is>
          <t xml:space="preserve">Grace and Joy Nails </t>
        </is>
      </c>
      <c r="D384" s="174" t="inlineStr">
        <is>
          <t xml:space="preserve">Maintainence </t>
        </is>
      </c>
      <c r="E384" s="275" t="n">
        <v>101</v>
      </c>
      <c r="F384" s="174" t="inlineStr">
        <is>
          <t xml:space="preserve">Westpac </t>
        </is>
      </c>
    </row>
    <row r="385">
      <c r="B385" s="180" t="n">
        <v>45809</v>
      </c>
      <c r="C385" s="174" t="inlineStr">
        <is>
          <t xml:space="preserve">Luna Skin and Brows </t>
        </is>
      </c>
      <c r="D385" s="174" t="inlineStr">
        <is>
          <t xml:space="preserve">Maintainence </t>
        </is>
      </c>
      <c r="E385" s="275" t="n">
        <v>266</v>
      </c>
      <c r="F385" s="174" t="inlineStr">
        <is>
          <t xml:space="preserve">Westpac </t>
        </is>
      </c>
    </row>
    <row r="386">
      <c r="B386" s="180" t="n">
        <v>45809</v>
      </c>
      <c r="C386" s="174" t="inlineStr">
        <is>
          <t xml:space="preserve">Assembly Label </t>
        </is>
      </c>
      <c r="D386" s="174" t="inlineStr">
        <is>
          <t xml:space="preserve">Clothing </t>
        </is>
      </c>
      <c r="E386" s="275" t="n">
        <v>140</v>
      </c>
      <c r="F386" s="174" t="inlineStr">
        <is>
          <t xml:space="preserve">Westpac </t>
        </is>
      </c>
    </row>
    <row r="387">
      <c r="B387" s="180" t="n">
        <v>45809</v>
      </c>
      <c r="C387" s="174" t="inlineStr">
        <is>
          <t xml:space="preserve">Fitzroy Town Hall </t>
        </is>
      </c>
      <c r="D387" s="174" t="inlineStr">
        <is>
          <t xml:space="preserve">Resturants </t>
        </is>
      </c>
      <c r="E387" s="275" t="n">
        <v>140</v>
      </c>
      <c r="F387" s="174" t="inlineStr">
        <is>
          <t xml:space="preserve">Westpac </t>
        </is>
      </c>
    </row>
    <row r="388">
      <c r="B388" s="180" t="n">
        <v>45809</v>
      </c>
      <c r="C388" s="174" t="inlineStr">
        <is>
          <t xml:space="preserve">Luna Skin and Brows </t>
        </is>
      </c>
      <c r="D388" s="174" t="inlineStr">
        <is>
          <t xml:space="preserve">Maintainence </t>
        </is>
      </c>
      <c r="E388" s="275" t="n">
        <v>85</v>
      </c>
      <c r="F388" s="174" t="inlineStr">
        <is>
          <t xml:space="preserve">Westpac </t>
        </is>
      </c>
    </row>
    <row r="389">
      <c r="B389" s="180" t="n">
        <v>45778</v>
      </c>
      <c r="C389" s="174" t="inlineStr">
        <is>
          <t xml:space="preserve">E-Test Prep </t>
        </is>
      </c>
      <c r="D389" s="174" t="inlineStr">
        <is>
          <t xml:space="preserve">Education </t>
        </is>
      </c>
      <c r="E389" s="275" t="n">
        <v>55</v>
      </c>
      <c r="F389" s="174" t="inlineStr">
        <is>
          <t xml:space="preserve">Westpac </t>
        </is>
      </c>
    </row>
    <row r="390">
      <c r="B390" s="180" t="n">
        <v>45778</v>
      </c>
      <c r="C390" s="174" t="inlineStr">
        <is>
          <t xml:space="preserve">Physio </t>
        </is>
      </c>
      <c r="D390" s="174" t="inlineStr">
        <is>
          <t xml:space="preserve">Physio </t>
        </is>
      </c>
      <c r="E390" s="275" t="n">
        <v>111</v>
      </c>
      <c r="F390" s="174" t="inlineStr">
        <is>
          <t xml:space="preserve">Westpac </t>
        </is>
      </c>
    </row>
    <row r="391">
      <c r="B391" s="180" t="n">
        <v>45778</v>
      </c>
      <c r="C391" s="174" t="inlineStr">
        <is>
          <t xml:space="preserve">Grace and Joy Nails </t>
        </is>
      </c>
      <c r="D391" s="174" t="inlineStr">
        <is>
          <t xml:space="preserve">Maintainence </t>
        </is>
      </c>
      <c r="E391" s="275" t="n">
        <v>50</v>
      </c>
      <c r="F391" s="174" t="inlineStr">
        <is>
          <t xml:space="preserve">Westpac </t>
        </is>
      </c>
    </row>
    <row r="392">
      <c r="B392" s="180" t="n">
        <v>45778</v>
      </c>
      <c r="C392" s="174" t="inlineStr">
        <is>
          <t xml:space="preserve">Annilla Jewlly </t>
        </is>
      </c>
      <c r="D392" s="174" t="inlineStr">
        <is>
          <t xml:space="preserve">Clothing </t>
        </is>
      </c>
      <c r="E392" s="275" t="n">
        <v>50</v>
      </c>
      <c r="F392" s="174" t="inlineStr">
        <is>
          <t xml:space="preserve">Westpac </t>
        </is>
      </c>
    </row>
    <row r="393">
      <c r="B393" s="180" t="n">
        <v>45778</v>
      </c>
      <c r="C393" s="174" t="inlineStr">
        <is>
          <t xml:space="preserve">Department of Health and Human Services - VISA  </t>
        </is>
      </c>
      <c r="D393" s="174" t="inlineStr">
        <is>
          <t xml:space="preserve">visa </t>
        </is>
      </c>
      <c r="E393" s="275" t="n">
        <v>131</v>
      </c>
      <c r="F393" s="174" t="inlineStr">
        <is>
          <t xml:space="preserve">Westpac </t>
        </is>
      </c>
    </row>
    <row r="394">
      <c r="B394" s="180" t="n">
        <v>45778</v>
      </c>
      <c r="C394" s="174" t="inlineStr">
        <is>
          <t xml:space="preserve">E-Test Prep </t>
        </is>
      </c>
      <c r="D394" s="174" t="inlineStr">
        <is>
          <t xml:space="preserve">Education </t>
        </is>
      </c>
      <c r="E394" s="275" t="n">
        <v>55</v>
      </c>
      <c r="F394" s="174" t="inlineStr">
        <is>
          <t xml:space="preserve">Westpac </t>
        </is>
      </c>
    </row>
    <row r="395">
      <c r="B395" s="180" t="n">
        <v>45748</v>
      </c>
      <c r="C395" s="174" t="inlineStr">
        <is>
          <t xml:space="preserve">Kmart </t>
        </is>
      </c>
      <c r="D395" s="174" t="inlineStr">
        <is>
          <t xml:space="preserve">Clothing </t>
        </is>
      </c>
      <c r="E395" s="275" t="n">
        <v>183</v>
      </c>
      <c r="F395" s="174" t="inlineStr">
        <is>
          <t xml:space="preserve">Westpac </t>
        </is>
      </c>
    </row>
    <row r="396">
      <c r="B396" s="180" t="n">
        <v>45748</v>
      </c>
      <c r="C396" s="174" t="inlineStr">
        <is>
          <t xml:space="preserve">Doc Martins </t>
        </is>
      </c>
      <c r="D396" s="174" t="inlineStr">
        <is>
          <t xml:space="preserve">Clothing </t>
        </is>
      </c>
      <c r="E396" s="275" t="n">
        <v>180</v>
      </c>
      <c r="F396" s="174" t="inlineStr">
        <is>
          <t xml:space="preserve">Westpac </t>
        </is>
      </c>
    </row>
    <row r="397">
      <c r="B397" s="180" t="n">
        <v>45748</v>
      </c>
      <c r="C397" s="174" t="inlineStr">
        <is>
          <t xml:space="preserve">Bonds </t>
        </is>
      </c>
      <c r="D397" s="174" t="inlineStr">
        <is>
          <t xml:space="preserve">Clothing </t>
        </is>
      </c>
      <c r="E397" s="275" t="n">
        <v>50</v>
      </c>
      <c r="F397" s="174" t="inlineStr">
        <is>
          <t xml:space="preserve">Westpac </t>
        </is>
      </c>
    </row>
    <row r="398">
      <c r="B398" s="180" t="n">
        <v>45717</v>
      </c>
      <c r="C398" s="174" t="inlineStr">
        <is>
          <t xml:space="preserve">Physio </t>
        </is>
      </c>
      <c r="D398" s="174" t="inlineStr">
        <is>
          <t>Physio</t>
        </is>
      </c>
      <c r="E398" s="275" t="n">
        <v>110</v>
      </c>
      <c r="F398" s="174" t="inlineStr">
        <is>
          <t xml:space="preserve">Westpac </t>
        </is>
      </c>
    </row>
    <row r="399">
      <c r="B399" s="180" t="n">
        <v>45717</v>
      </c>
      <c r="C399" s="174" t="inlineStr">
        <is>
          <t xml:space="preserve">Hockey </t>
        </is>
      </c>
      <c r="D399" s="174" t="inlineStr">
        <is>
          <t xml:space="preserve">Sport </t>
        </is>
      </c>
      <c r="E399" s="275" t="n">
        <v>825</v>
      </c>
      <c r="F399" s="174" t="inlineStr">
        <is>
          <t xml:space="preserve">Westpac </t>
        </is>
      </c>
    </row>
    <row r="400">
      <c r="B400" s="180" t="n">
        <v>45717</v>
      </c>
      <c r="C400" s="174" t="inlineStr">
        <is>
          <t xml:space="preserve">Cheeta Teamwear </t>
        </is>
      </c>
      <c r="D400" s="174" t="inlineStr">
        <is>
          <t xml:space="preserve">Clothing </t>
        </is>
      </c>
      <c r="E400" s="275" t="n">
        <v>125</v>
      </c>
      <c r="F400" s="174" t="inlineStr">
        <is>
          <t xml:space="preserve">Westpac </t>
        </is>
      </c>
    </row>
    <row r="401">
      <c r="B401" s="180" t="n">
        <v>45717</v>
      </c>
      <c r="C401" s="174" t="inlineStr">
        <is>
          <t xml:space="preserve">Habour lights café Hobart </t>
        </is>
      </c>
      <c r="D401" s="174" t="inlineStr">
        <is>
          <t xml:space="preserve">Tas 25 </t>
        </is>
      </c>
      <c r="E401" s="275" t="n">
        <v>90</v>
      </c>
      <c r="F401" s="174" t="inlineStr">
        <is>
          <t xml:space="preserve">Westpac </t>
        </is>
      </c>
    </row>
    <row r="402">
      <c r="B402" s="180" t="n">
        <v>45717</v>
      </c>
      <c r="C402" s="174" t="inlineStr">
        <is>
          <t xml:space="preserve">VIC Roads licence </t>
        </is>
      </c>
      <c r="D402" s="174" t="inlineStr">
        <is>
          <t xml:space="preserve">Car </t>
        </is>
      </c>
      <c r="E402" s="275" t="n">
        <v>75</v>
      </c>
      <c r="F402" s="174" t="inlineStr">
        <is>
          <t xml:space="preserve">Westpac </t>
        </is>
      </c>
    </row>
    <row r="403">
      <c r="B403" s="180" t="n">
        <v>45689</v>
      </c>
      <c r="C403" s="174" t="inlineStr">
        <is>
          <t xml:space="preserve">Rebel Sport </t>
        </is>
      </c>
      <c r="D403" s="174" t="inlineStr">
        <is>
          <t xml:space="preserve">Clothing </t>
        </is>
      </c>
      <c r="E403" s="275" t="n">
        <v>90</v>
      </c>
      <c r="F403" s="174" t="inlineStr">
        <is>
          <t xml:space="preserve">Westpac </t>
        </is>
      </c>
    </row>
  </sheetData>
  <mergeCells count="2">
    <mergeCell ref="B55:F55"/>
    <mergeCell ref="B3:F3"/>
  </mergeCells>
  <pageMargins left="0.7" right="0.7" top="0.75" bottom="0.75" header="0.3" footer="0.3"/>
  <pageSetup orientation="portrait" paperSize="9" horizontalDpi="1200" verticalDpi="1200"/>
  <legacyDrawing xmlns:r="http://schemas.openxmlformats.org/officeDocument/2006/relationships" r:id="anysvml"/>
  <tableParts count="10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  <tablePart xmlns:r="http://schemas.openxmlformats.org/officeDocument/2006/relationships" r:id="rId9"/>
    <tablePart xmlns:r="http://schemas.openxmlformats.org/officeDocument/2006/relationships" r:id="rId10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Test Client</dc:creator>
  <dcterms:created xmlns:dcterms="http://purl.org/dc/terms/" xmlns:xsi="http://www.w3.org/2001/XMLSchema-instance" xsi:type="dcterms:W3CDTF">2025-08-29T21:07:55Z</dcterms:created>
  <dcterms:modified xmlns:dcterms="http://purl.org/dc/terms/" xmlns:xsi="http://www.w3.org/2001/XMLSchema-instance" xsi:type="dcterms:W3CDTF">2026-05-21T04:40:23Z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0x010100891426857F87A040A7F4F75F5BB1DB14</vt:lpwstr>
  </property>
</Properties>
</file>